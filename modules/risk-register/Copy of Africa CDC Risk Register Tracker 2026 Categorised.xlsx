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user/Desktop/"/>
    </mc:Choice>
  </mc:AlternateContent>
  <xr:revisionPtr revIDLastSave="0" documentId="8_{FBDAE83A-6122-8146-B74C-CABAAAB6A8C5}" xr6:coauthVersionLast="47" xr6:coauthVersionMax="47" xr10:uidLastSave="{00000000-0000-0000-0000-000000000000}"/>
  <bookViews>
    <workbookView xWindow="0" yWindow="500" windowWidth="28800" windowHeight="16600" tabRatio="500" xr2:uid="{00000000-000D-0000-FFFF-FFFF00000000}"/>
  </bookViews>
  <sheets>
    <sheet name="Risk Register" sheetId="1" r:id="rId1"/>
    <sheet name="Dashboard" sheetId="2" r:id="rId2"/>
    <sheet name="Reference &amp; Methodology" sheetId="3" r:id="rId3"/>
  </sheets>
  <definedNames>
    <definedName name="_xlnm._FilterDatabase" localSheetId="0" hidden="1">'Risk Register'!$A$5:$T$792</definedName>
    <definedName name="_xlnm.Print_Titles" localSheetId="0">'Risk Register'!$4:$5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47" i="2" l="1"/>
  <c r="L46" i="2"/>
  <c r="I46" i="2"/>
  <c r="L45" i="2"/>
  <c r="I45" i="2"/>
  <c r="L44" i="2"/>
  <c r="I44" i="2"/>
  <c r="L43" i="2"/>
  <c r="I43" i="2"/>
  <c r="L42" i="2"/>
  <c r="I42" i="2"/>
  <c r="B38" i="2"/>
  <c r="B37" i="2"/>
  <c r="B36" i="2"/>
  <c r="B35" i="2"/>
  <c r="B34" i="2"/>
  <c r="B33" i="2"/>
  <c r="B32" i="2"/>
  <c r="B31" i="2"/>
  <c r="B30" i="2"/>
  <c r="B29" i="2"/>
  <c r="B28" i="2"/>
  <c r="D27" i="2"/>
  <c r="B27" i="2"/>
  <c r="C27" i="2" s="1"/>
  <c r="B26" i="2"/>
  <c r="B25" i="2"/>
  <c r="B24" i="2"/>
  <c r="B23" i="2"/>
  <c r="B22" i="2"/>
  <c r="B21" i="2"/>
  <c r="B20" i="2"/>
  <c r="B19" i="2"/>
  <c r="B18" i="2"/>
  <c r="G16" i="2"/>
  <c r="I16" i="2" s="1"/>
  <c r="G15" i="2"/>
  <c r="I15" i="2" s="1"/>
  <c r="I14" i="2"/>
  <c r="G14" i="2"/>
  <c r="G13" i="2"/>
  <c r="I13" i="2" s="1"/>
  <c r="G12" i="2"/>
  <c r="I12" i="2" s="1"/>
  <c r="I11" i="2"/>
  <c r="G11" i="2"/>
  <c r="G10" i="2"/>
  <c r="I10" i="2" s="1"/>
  <c r="L5" i="2"/>
  <c r="K5" i="2"/>
  <c r="J5" i="2"/>
  <c r="I5" i="2"/>
  <c r="A5" i="2"/>
  <c r="K792" i="1"/>
  <c r="X792" i="1" s="1"/>
  <c r="I792" i="1"/>
  <c r="W791" i="1"/>
  <c r="K791" i="1"/>
  <c r="L791" i="1" s="1"/>
  <c r="I791" i="1"/>
  <c r="Z790" i="1"/>
  <c r="W790" i="1"/>
  <c r="Y790" i="1" s="1"/>
  <c r="AB790" i="1" s="1"/>
  <c r="K790" i="1"/>
  <c r="X790" i="1" s="1"/>
  <c r="I790" i="1"/>
  <c r="Y789" i="1"/>
  <c r="U789" i="1"/>
  <c r="L789" i="1"/>
  <c r="K789" i="1"/>
  <c r="X789" i="1" s="1"/>
  <c r="I789" i="1"/>
  <c r="W789" i="1" s="1"/>
  <c r="W788" i="1"/>
  <c r="Y788" i="1" s="1"/>
  <c r="Z788" i="1" s="1"/>
  <c r="K788" i="1"/>
  <c r="X788" i="1" s="1"/>
  <c r="I788" i="1"/>
  <c r="AB787" i="1"/>
  <c r="Z787" i="1"/>
  <c r="Y787" i="1"/>
  <c r="X787" i="1"/>
  <c r="W787" i="1"/>
  <c r="L787" i="1"/>
  <c r="AA787" i="1" s="1"/>
  <c r="K787" i="1"/>
  <c r="I787" i="1"/>
  <c r="AB786" i="1"/>
  <c r="X786" i="1"/>
  <c r="W786" i="1"/>
  <c r="Y786" i="1" s="1"/>
  <c r="U786" i="1"/>
  <c r="K786" i="1"/>
  <c r="I786" i="1"/>
  <c r="L786" i="1" s="1"/>
  <c r="X785" i="1"/>
  <c r="L785" i="1"/>
  <c r="K785" i="1"/>
  <c r="I785" i="1"/>
  <c r="W785" i="1" s="1"/>
  <c r="Y785" i="1" s="1"/>
  <c r="AB785" i="1" s="1"/>
  <c r="X784" i="1"/>
  <c r="K784" i="1"/>
  <c r="I784" i="1"/>
  <c r="X783" i="1"/>
  <c r="Y783" i="1" s="1"/>
  <c r="W783" i="1"/>
  <c r="K783" i="1"/>
  <c r="L783" i="1" s="1"/>
  <c r="I783" i="1"/>
  <c r="W782" i="1"/>
  <c r="K782" i="1"/>
  <c r="X782" i="1" s="1"/>
  <c r="I782" i="1"/>
  <c r="Y781" i="1"/>
  <c r="Z781" i="1" s="1"/>
  <c r="X781" i="1"/>
  <c r="U781" i="1"/>
  <c r="K781" i="1"/>
  <c r="L781" i="1" s="1"/>
  <c r="I781" i="1"/>
  <c r="W781" i="1" s="1"/>
  <c r="X780" i="1"/>
  <c r="K780" i="1"/>
  <c r="I780" i="1"/>
  <c r="W780" i="1" s="1"/>
  <c r="Y780" i="1" s="1"/>
  <c r="W779" i="1"/>
  <c r="K779" i="1"/>
  <c r="I779" i="1"/>
  <c r="X778" i="1"/>
  <c r="K778" i="1"/>
  <c r="I778" i="1"/>
  <c r="K777" i="1"/>
  <c r="L777" i="1" s="1"/>
  <c r="I777" i="1"/>
  <c r="W777" i="1" s="1"/>
  <c r="K776" i="1"/>
  <c r="X776" i="1" s="1"/>
  <c r="I776" i="1"/>
  <c r="Y775" i="1"/>
  <c r="W775" i="1"/>
  <c r="U775" i="1"/>
  <c r="L775" i="1"/>
  <c r="K775" i="1"/>
  <c r="X775" i="1" s="1"/>
  <c r="I775" i="1"/>
  <c r="W774" i="1"/>
  <c r="Y774" i="1" s="1"/>
  <c r="K774" i="1"/>
  <c r="X774" i="1" s="1"/>
  <c r="I774" i="1"/>
  <c r="L773" i="1"/>
  <c r="K773" i="1"/>
  <c r="X773" i="1" s="1"/>
  <c r="I773" i="1"/>
  <c r="W773" i="1" s="1"/>
  <c r="Y773" i="1" s="1"/>
  <c r="K772" i="1"/>
  <c r="X772" i="1" s="1"/>
  <c r="I772" i="1"/>
  <c r="W771" i="1"/>
  <c r="K771" i="1"/>
  <c r="I771" i="1"/>
  <c r="AA770" i="1"/>
  <c r="W770" i="1"/>
  <c r="Y770" i="1" s="1"/>
  <c r="K770" i="1"/>
  <c r="X770" i="1" s="1"/>
  <c r="I770" i="1"/>
  <c r="L770" i="1" s="1"/>
  <c r="U770" i="1" s="1"/>
  <c r="L769" i="1"/>
  <c r="K769" i="1"/>
  <c r="X769" i="1" s="1"/>
  <c r="I769" i="1"/>
  <c r="W769" i="1" s="1"/>
  <c r="X768" i="1"/>
  <c r="K768" i="1"/>
  <c r="I768" i="1"/>
  <c r="W767" i="1"/>
  <c r="K767" i="1"/>
  <c r="L767" i="1" s="1"/>
  <c r="I767" i="1"/>
  <c r="X766" i="1"/>
  <c r="W766" i="1"/>
  <c r="Y766" i="1" s="1"/>
  <c r="K766" i="1"/>
  <c r="I766" i="1"/>
  <c r="L766" i="1" s="1"/>
  <c r="U766" i="1" s="1"/>
  <c r="L765" i="1"/>
  <c r="K765" i="1"/>
  <c r="X765" i="1" s="1"/>
  <c r="Y765" i="1" s="1"/>
  <c r="I765" i="1"/>
  <c r="W765" i="1" s="1"/>
  <c r="K764" i="1"/>
  <c r="X764" i="1" s="1"/>
  <c r="I764" i="1"/>
  <c r="W763" i="1"/>
  <c r="L763" i="1"/>
  <c r="K763" i="1"/>
  <c r="X763" i="1" s="1"/>
  <c r="Y763" i="1" s="1"/>
  <c r="I763" i="1"/>
  <c r="K762" i="1"/>
  <c r="X762" i="1" s="1"/>
  <c r="I762" i="1"/>
  <c r="K761" i="1"/>
  <c r="I761" i="1"/>
  <c r="W761" i="1" s="1"/>
  <c r="W760" i="1"/>
  <c r="U760" i="1"/>
  <c r="K760" i="1"/>
  <c r="X760" i="1" s="1"/>
  <c r="I760" i="1"/>
  <c r="L760" i="1" s="1"/>
  <c r="Z759" i="1"/>
  <c r="Y759" i="1"/>
  <c r="AB759" i="1" s="1"/>
  <c r="X759" i="1"/>
  <c r="W759" i="1"/>
  <c r="L759" i="1"/>
  <c r="K759" i="1"/>
  <c r="I759" i="1"/>
  <c r="AB758" i="1"/>
  <c r="W758" i="1"/>
  <c r="Y758" i="1" s="1"/>
  <c r="Z758" i="1" s="1"/>
  <c r="K758" i="1"/>
  <c r="X758" i="1" s="1"/>
  <c r="I758" i="1"/>
  <c r="Y757" i="1"/>
  <c r="AB757" i="1" s="1"/>
  <c r="L757" i="1"/>
  <c r="K757" i="1"/>
  <c r="X757" i="1" s="1"/>
  <c r="I757" i="1"/>
  <c r="W757" i="1" s="1"/>
  <c r="W756" i="1"/>
  <c r="Y756" i="1" s="1"/>
  <c r="K756" i="1"/>
  <c r="X756" i="1" s="1"/>
  <c r="I756" i="1"/>
  <c r="AB755" i="1"/>
  <c r="Z755" i="1"/>
  <c r="Y755" i="1"/>
  <c r="X755" i="1"/>
  <c r="W755" i="1"/>
  <c r="U755" i="1"/>
  <c r="L755" i="1"/>
  <c r="AA755" i="1" s="1"/>
  <c r="K755" i="1"/>
  <c r="I755" i="1"/>
  <c r="X754" i="1"/>
  <c r="W754" i="1"/>
  <c r="Y754" i="1" s="1"/>
  <c r="K754" i="1"/>
  <c r="I754" i="1"/>
  <c r="L754" i="1" s="1"/>
  <c r="X753" i="1"/>
  <c r="U753" i="1"/>
  <c r="L753" i="1"/>
  <c r="K753" i="1"/>
  <c r="I753" i="1"/>
  <c r="W753" i="1" s="1"/>
  <c r="Y753" i="1" s="1"/>
  <c r="X752" i="1"/>
  <c r="U752" i="1"/>
  <c r="K752" i="1"/>
  <c r="I752" i="1"/>
  <c r="L752" i="1" s="1"/>
  <c r="W751" i="1"/>
  <c r="K751" i="1"/>
  <c r="I751" i="1"/>
  <c r="W750" i="1"/>
  <c r="K750" i="1"/>
  <c r="X750" i="1" s="1"/>
  <c r="I750" i="1"/>
  <c r="K749" i="1"/>
  <c r="I749" i="1"/>
  <c r="W749" i="1" s="1"/>
  <c r="X748" i="1"/>
  <c r="K748" i="1"/>
  <c r="I748" i="1"/>
  <c r="W747" i="1"/>
  <c r="K747" i="1"/>
  <c r="I747" i="1"/>
  <c r="K746" i="1"/>
  <c r="X746" i="1" s="1"/>
  <c r="I746" i="1"/>
  <c r="X745" i="1"/>
  <c r="K745" i="1"/>
  <c r="I745" i="1"/>
  <c r="X744" i="1"/>
  <c r="W744" i="1"/>
  <c r="K744" i="1"/>
  <c r="I744" i="1"/>
  <c r="W743" i="1"/>
  <c r="K743" i="1"/>
  <c r="L743" i="1" s="1"/>
  <c r="I743" i="1"/>
  <c r="W742" i="1"/>
  <c r="Y742" i="1" s="1"/>
  <c r="K742" i="1"/>
  <c r="X742" i="1" s="1"/>
  <c r="I742" i="1"/>
  <c r="Y741" i="1"/>
  <c r="AB741" i="1" s="1"/>
  <c r="X741" i="1"/>
  <c r="L741" i="1"/>
  <c r="K741" i="1"/>
  <c r="I741" i="1"/>
  <c r="W741" i="1" s="1"/>
  <c r="K740" i="1"/>
  <c r="X740" i="1" s="1"/>
  <c r="I740" i="1"/>
  <c r="X739" i="1"/>
  <c r="Y739" i="1" s="1"/>
  <c r="W739" i="1"/>
  <c r="K739" i="1"/>
  <c r="L739" i="1" s="1"/>
  <c r="I739" i="1"/>
  <c r="K738" i="1"/>
  <c r="X738" i="1" s="1"/>
  <c r="I738" i="1"/>
  <c r="L737" i="1"/>
  <c r="K737" i="1"/>
  <c r="X737" i="1" s="1"/>
  <c r="I737" i="1"/>
  <c r="W737" i="1" s="1"/>
  <c r="K736" i="1"/>
  <c r="X736" i="1" s="1"/>
  <c r="I736" i="1"/>
  <c r="Y735" i="1"/>
  <c r="X735" i="1"/>
  <c r="W735" i="1"/>
  <c r="L735" i="1"/>
  <c r="K735" i="1"/>
  <c r="I735" i="1"/>
  <c r="Y734" i="1"/>
  <c r="X734" i="1"/>
  <c r="W734" i="1"/>
  <c r="K734" i="1"/>
  <c r="I734" i="1"/>
  <c r="X733" i="1"/>
  <c r="K733" i="1"/>
  <c r="I733" i="1"/>
  <c r="K732" i="1"/>
  <c r="X732" i="1" s="1"/>
  <c r="I732" i="1"/>
  <c r="Y731" i="1"/>
  <c r="W731" i="1"/>
  <c r="L731" i="1"/>
  <c r="K731" i="1"/>
  <c r="X731" i="1" s="1"/>
  <c r="I731" i="1"/>
  <c r="W730" i="1"/>
  <c r="K730" i="1"/>
  <c r="X730" i="1" s="1"/>
  <c r="I730" i="1"/>
  <c r="K729" i="1"/>
  <c r="X729" i="1" s="1"/>
  <c r="I729" i="1"/>
  <c r="W729" i="1" s="1"/>
  <c r="Y729" i="1" s="1"/>
  <c r="AB729" i="1" s="1"/>
  <c r="W728" i="1"/>
  <c r="Y728" i="1" s="1"/>
  <c r="L728" i="1"/>
  <c r="K728" i="1"/>
  <c r="X728" i="1" s="1"/>
  <c r="I728" i="1"/>
  <c r="X727" i="1"/>
  <c r="K727" i="1"/>
  <c r="I727" i="1"/>
  <c r="X726" i="1"/>
  <c r="K726" i="1"/>
  <c r="I726" i="1"/>
  <c r="W726" i="1" s="1"/>
  <c r="Y726" i="1" s="1"/>
  <c r="Y725" i="1"/>
  <c r="W725" i="1"/>
  <c r="L725" i="1"/>
  <c r="K725" i="1"/>
  <c r="X725" i="1" s="1"/>
  <c r="I725" i="1"/>
  <c r="X724" i="1"/>
  <c r="U724" i="1"/>
  <c r="L724" i="1"/>
  <c r="K724" i="1"/>
  <c r="I724" i="1"/>
  <c r="W724" i="1" s="1"/>
  <c r="Y724" i="1" s="1"/>
  <c r="X723" i="1"/>
  <c r="W723" i="1"/>
  <c r="Y723" i="1" s="1"/>
  <c r="U723" i="1"/>
  <c r="K723" i="1"/>
  <c r="I723" i="1"/>
  <c r="L723" i="1" s="1"/>
  <c r="K722" i="1"/>
  <c r="L722" i="1" s="1"/>
  <c r="U722" i="1" s="1"/>
  <c r="I722" i="1"/>
  <c r="W722" i="1" s="1"/>
  <c r="K721" i="1"/>
  <c r="X721" i="1" s="1"/>
  <c r="I721" i="1"/>
  <c r="W721" i="1" s="1"/>
  <c r="K720" i="1"/>
  <c r="X720" i="1" s="1"/>
  <c r="I720" i="1"/>
  <c r="X719" i="1"/>
  <c r="K719" i="1"/>
  <c r="I719" i="1"/>
  <c r="K718" i="1"/>
  <c r="X718" i="1" s="1"/>
  <c r="I718" i="1"/>
  <c r="W718" i="1" s="1"/>
  <c r="Y718" i="1" s="1"/>
  <c r="W717" i="1"/>
  <c r="U717" i="1"/>
  <c r="L717" i="1"/>
  <c r="K717" i="1"/>
  <c r="X717" i="1" s="1"/>
  <c r="Y717" i="1" s="1"/>
  <c r="I717" i="1"/>
  <c r="X716" i="1"/>
  <c r="W716" i="1"/>
  <c r="Y716" i="1" s="1"/>
  <c r="U716" i="1"/>
  <c r="L716" i="1"/>
  <c r="K716" i="1"/>
  <c r="I716" i="1"/>
  <c r="X715" i="1"/>
  <c r="W715" i="1"/>
  <c r="U715" i="1"/>
  <c r="K715" i="1"/>
  <c r="I715" i="1"/>
  <c r="L715" i="1" s="1"/>
  <c r="K714" i="1"/>
  <c r="X714" i="1" s="1"/>
  <c r="Y714" i="1" s="1"/>
  <c r="Z714" i="1" s="1"/>
  <c r="I714" i="1"/>
  <c r="W714" i="1" s="1"/>
  <c r="AA713" i="1"/>
  <c r="Y713" i="1"/>
  <c r="Z713" i="1" s="1"/>
  <c r="L713" i="1"/>
  <c r="U713" i="1" s="1"/>
  <c r="K713" i="1"/>
  <c r="X713" i="1" s="1"/>
  <c r="I713" i="1"/>
  <c r="W713" i="1" s="1"/>
  <c r="W712" i="1"/>
  <c r="Y712" i="1" s="1"/>
  <c r="K712" i="1"/>
  <c r="X712" i="1" s="1"/>
  <c r="I712" i="1"/>
  <c r="X711" i="1"/>
  <c r="W711" i="1"/>
  <c r="Y711" i="1" s="1"/>
  <c r="U711" i="1"/>
  <c r="L711" i="1"/>
  <c r="K711" i="1"/>
  <c r="I711" i="1"/>
  <c r="X710" i="1"/>
  <c r="W710" i="1"/>
  <c r="Y710" i="1" s="1"/>
  <c r="L710" i="1"/>
  <c r="K710" i="1"/>
  <c r="I710" i="1"/>
  <c r="W709" i="1"/>
  <c r="L709" i="1"/>
  <c r="K709" i="1"/>
  <c r="X709" i="1" s="1"/>
  <c r="I709" i="1"/>
  <c r="X708" i="1"/>
  <c r="W708" i="1"/>
  <c r="L708" i="1"/>
  <c r="K708" i="1"/>
  <c r="I708" i="1"/>
  <c r="K707" i="1"/>
  <c r="X707" i="1" s="1"/>
  <c r="I707" i="1"/>
  <c r="W706" i="1"/>
  <c r="Y706" i="1" s="1"/>
  <c r="L706" i="1"/>
  <c r="U706" i="1" s="1"/>
  <c r="K706" i="1"/>
  <c r="X706" i="1" s="1"/>
  <c r="I706" i="1"/>
  <c r="X705" i="1"/>
  <c r="K705" i="1"/>
  <c r="I705" i="1"/>
  <c r="X704" i="1"/>
  <c r="K704" i="1"/>
  <c r="I704" i="1"/>
  <c r="L703" i="1"/>
  <c r="U703" i="1" s="1"/>
  <c r="K703" i="1"/>
  <c r="X703" i="1" s="1"/>
  <c r="I703" i="1"/>
  <c r="W703" i="1" s="1"/>
  <c r="K702" i="1"/>
  <c r="X702" i="1" s="1"/>
  <c r="I702" i="1"/>
  <c r="W702" i="1" s="1"/>
  <c r="Y702" i="1" s="1"/>
  <c r="Z702" i="1" s="1"/>
  <c r="Y701" i="1"/>
  <c r="W701" i="1"/>
  <c r="L701" i="1"/>
  <c r="U701" i="1" s="1"/>
  <c r="K701" i="1"/>
  <c r="X701" i="1" s="1"/>
  <c r="I701" i="1"/>
  <c r="X700" i="1"/>
  <c r="K700" i="1"/>
  <c r="I700" i="1"/>
  <c r="L700" i="1" s="1"/>
  <c r="X699" i="1"/>
  <c r="K699" i="1"/>
  <c r="I699" i="1"/>
  <c r="W698" i="1"/>
  <c r="Y698" i="1" s="1"/>
  <c r="L698" i="1"/>
  <c r="U698" i="1" s="1"/>
  <c r="K698" i="1"/>
  <c r="X698" i="1" s="1"/>
  <c r="I698" i="1"/>
  <c r="AA697" i="1"/>
  <c r="Y697" i="1"/>
  <c r="Z697" i="1" s="1"/>
  <c r="X697" i="1"/>
  <c r="U697" i="1"/>
  <c r="L697" i="1"/>
  <c r="K697" i="1"/>
  <c r="I697" i="1"/>
  <c r="W697" i="1" s="1"/>
  <c r="X696" i="1"/>
  <c r="W696" i="1"/>
  <c r="Y696" i="1" s="1"/>
  <c r="U696" i="1"/>
  <c r="K696" i="1"/>
  <c r="I696" i="1"/>
  <c r="L696" i="1" s="1"/>
  <c r="AA696" i="1" s="1"/>
  <c r="L695" i="1"/>
  <c r="K695" i="1"/>
  <c r="X695" i="1" s="1"/>
  <c r="Y695" i="1" s="1"/>
  <c r="I695" i="1"/>
  <c r="W695" i="1" s="1"/>
  <c r="K694" i="1"/>
  <c r="X694" i="1" s="1"/>
  <c r="Y694" i="1" s="1"/>
  <c r="I694" i="1"/>
  <c r="W694" i="1" s="1"/>
  <c r="X693" i="1"/>
  <c r="W693" i="1"/>
  <c r="Y693" i="1" s="1"/>
  <c r="AB693" i="1" s="1"/>
  <c r="K693" i="1"/>
  <c r="I693" i="1"/>
  <c r="L693" i="1" s="1"/>
  <c r="W692" i="1"/>
  <c r="K692" i="1"/>
  <c r="I692" i="1"/>
  <c r="K691" i="1"/>
  <c r="X691" i="1" s="1"/>
  <c r="I691" i="1"/>
  <c r="K690" i="1"/>
  <c r="X690" i="1" s="1"/>
  <c r="I690" i="1"/>
  <c r="W690" i="1" s="1"/>
  <c r="X689" i="1"/>
  <c r="W689" i="1"/>
  <c r="Y689" i="1" s="1"/>
  <c r="AB689" i="1" s="1"/>
  <c r="K689" i="1"/>
  <c r="I689" i="1"/>
  <c r="L689" i="1" s="1"/>
  <c r="W688" i="1"/>
  <c r="K688" i="1"/>
  <c r="I688" i="1"/>
  <c r="K687" i="1"/>
  <c r="X687" i="1" s="1"/>
  <c r="I687" i="1"/>
  <c r="K686" i="1"/>
  <c r="X686" i="1" s="1"/>
  <c r="I686" i="1"/>
  <c r="W686" i="1" s="1"/>
  <c r="Y686" i="1" s="1"/>
  <c r="X685" i="1"/>
  <c r="K685" i="1"/>
  <c r="I685" i="1"/>
  <c r="W685" i="1" s="1"/>
  <c r="Y685" i="1" s="1"/>
  <c r="W684" i="1"/>
  <c r="K684" i="1"/>
  <c r="I684" i="1"/>
  <c r="K683" i="1"/>
  <c r="X683" i="1" s="1"/>
  <c r="I683" i="1"/>
  <c r="K682" i="1"/>
  <c r="X682" i="1" s="1"/>
  <c r="I682" i="1"/>
  <c r="W682" i="1" s="1"/>
  <c r="Y682" i="1" s="1"/>
  <c r="X681" i="1"/>
  <c r="K681" i="1"/>
  <c r="I681" i="1"/>
  <c r="W680" i="1"/>
  <c r="K680" i="1"/>
  <c r="I680" i="1"/>
  <c r="K679" i="1"/>
  <c r="X679" i="1" s="1"/>
  <c r="I679" i="1"/>
  <c r="K678" i="1"/>
  <c r="X678" i="1" s="1"/>
  <c r="I678" i="1"/>
  <c r="X677" i="1"/>
  <c r="K677" i="1"/>
  <c r="I677" i="1"/>
  <c r="W676" i="1"/>
  <c r="K676" i="1"/>
  <c r="I676" i="1"/>
  <c r="K675" i="1"/>
  <c r="X675" i="1" s="1"/>
  <c r="I675" i="1"/>
  <c r="X674" i="1"/>
  <c r="K674" i="1"/>
  <c r="I674" i="1"/>
  <c r="X673" i="1"/>
  <c r="K673" i="1"/>
  <c r="I673" i="1"/>
  <c r="L673" i="1" s="1"/>
  <c r="X672" i="1"/>
  <c r="W672" i="1"/>
  <c r="K672" i="1"/>
  <c r="L672" i="1" s="1"/>
  <c r="I672" i="1"/>
  <c r="K671" i="1"/>
  <c r="X671" i="1" s="1"/>
  <c r="I671" i="1"/>
  <c r="X670" i="1"/>
  <c r="W670" i="1"/>
  <c r="Y670" i="1" s="1"/>
  <c r="L670" i="1"/>
  <c r="K670" i="1"/>
  <c r="I670" i="1"/>
  <c r="Y669" i="1"/>
  <c r="X669" i="1"/>
  <c r="W669" i="1"/>
  <c r="L669" i="1"/>
  <c r="K669" i="1"/>
  <c r="I669" i="1"/>
  <c r="X668" i="1"/>
  <c r="W668" i="1"/>
  <c r="Y668" i="1" s="1"/>
  <c r="AB668" i="1" s="1"/>
  <c r="K668" i="1"/>
  <c r="I668" i="1"/>
  <c r="L668" i="1" s="1"/>
  <c r="K667" i="1"/>
  <c r="X667" i="1" s="1"/>
  <c r="I667" i="1"/>
  <c r="L667" i="1" s="1"/>
  <c r="U667" i="1" s="1"/>
  <c r="X666" i="1"/>
  <c r="K666" i="1"/>
  <c r="I666" i="1"/>
  <c r="X665" i="1"/>
  <c r="L665" i="1"/>
  <c r="K665" i="1"/>
  <c r="I665" i="1"/>
  <c r="W665" i="1" s="1"/>
  <c r="Y665" i="1" s="1"/>
  <c r="K664" i="1"/>
  <c r="X664" i="1" s="1"/>
  <c r="I664" i="1"/>
  <c r="W664" i="1" s="1"/>
  <c r="Y664" i="1" s="1"/>
  <c r="X663" i="1"/>
  <c r="W663" i="1"/>
  <c r="K663" i="1"/>
  <c r="L663" i="1" s="1"/>
  <c r="I663" i="1"/>
  <c r="X662" i="1"/>
  <c r="W662" i="1"/>
  <c r="Y662" i="1" s="1"/>
  <c r="K662" i="1"/>
  <c r="I662" i="1"/>
  <c r="L662" i="1" s="1"/>
  <c r="X661" i="1"/>
  <c r="K661" i="1"/>
  <c r="I661" i="1"/>
  <c r="K660" i="1"/>
  <c r="X660" i="1" s="1"/>
  <c r="I660" i="1"/>
  <c r="W659" i="1"/>
  <c r="L659" i="1"/>
  <c r="K659" i="1"/>
  <c r="X659" i="1" s="1"/>
  <c r="I659" i="1"/>
  <c r="Y658" i="1"/>
  <c r="X658" i="1"/>
  <c r="W658" i="1"/>
  <c r="K658" i="1"/>
  <c r="I658" i="1"/>
  <c r="L658" i="1" s="1"/>
  <c r="X657" i="1"/>
  <c r="K657" i="1"/>
  <c r="I657" i="1"/>
  <c r="K656" i="1"/>
  <c r="X656" i="1" s="1"/>
  <c r="I656" i="1"/>
  <c r="W656" i="1" s="1"/>
  <c r="W655" i="1"/>
  <c r="K655" i="1"/>
  <c r="X655" i="1" s="1"/>
  <c r="I655" i="1"/>
  <c r="Z654" i="1"/>
  <c r="Y654" i="1"/>
  <c r="AB654" i="1" s="1"/>
  <c r="X654" i="1"/>
  <c r="W654" i="1"/>
  <c r="K654" i="1"/>
  <c r="I654" i="1"/>
  <c r="L654" i="1" s="1"/>
  <c r="K653" i="1"/>
  <c r="X653" i="1" s="1"/>
  <c r="I653" i="1"/>
  <c r="L652" i="1"/>
  <c r="K652" i="1"/>
  <c r="X652" i="1" s="1"/>
  <c r="I652" i="1"/>
  <c r="W652" i="1" s="1"/>
  <c r="W651" i="1"/>
  <c r="L651" i="1"/>
  <c r="K651" i="1"/>
  <c r="X651" i="1" s="1"/>
  <c r="I651" i="1"/>
  <c r="X650" i="1"/>
  <c r="W650" i="1"/>
  <c r="Y650" i="1" s="1"/>
  <c r="K650" i="1"/>
  <c r="I650" i="1"/>
  <c r="L650" i="1" s="1"/>
  <c r="K649" i="1"/>
  <c r="X649" i="1" s="1"/>
  <c r="I649" i="1"/>
  <c r="Z648" i="1"/>
  <c r="U648" i="1"/>
  <c r="L648" i="1"/>
  <c r="AA648" i="1" s="1"/>
  <c r="K648" i="1"/>
  <c r="X648" i="1" s="1"/>
  <c r="I648" i="1"/>
  <c r="W648" i="1" s="1"/>
  <c r="Y648" i="1" s="1"/>
  <c r="AB648" i="1" s="1"/>
  <c r="W647" i="1"/>
  <c r="K647" i="1"/>
  <c r="I647" i="1"/>
  <c r="X646" i="1"/>
  <c r="W646" i="1"/>
  <c r="Y646" i="1" s="1"/>
  <c r="K646" i="1"/>
  <c r="I646" i="1"/>
  <c r="L646" i="1" s="1"/>
  <c r="X645" i="1"/>
  <c r="K645" i="1"/>
  <c r="I645" i="1"/>
  <c r="Z644" i="1"/>
  <c r="K644" i="1"/>
  <c r="X644" i="1" s="1"/>
  <c r="I644" i="1"/>
  <c r="W644" i="1" s="1"/>
  <c r="Y644" i="1" s="1"/>
  <c r="AB644" i="1" s="1"/>
  <c r="X643" i="1"/>
  <c r="W643" i="1"/>
  <c r="U643" i="1"/>
  <c r="L643" i="1"/>
  <c r="K643" i="1"/>
  <c r="I643" i="1"/>
  <c r="X642" i="1"/>
  <c r="W642" i="1"/>
  <c r="Y642" i="1" s="1"/>
  <c r="U642" i="1"/>
  <c r="K642" i="1"/>
  <c r="I642" i="1"/>
  <c r="L642" i="1" s="1"/>
  <c r="K641" i="1"/>
  <c r="X641" i="1" s="1"/>
  <c r="I641" i="1"/>
  <c r="K640" i="1"/>
  <c r="X640" i="1" s="1"/>
  <c r="I640" i="1"/>
  <c r="W639" i="1"/>
  <c r="K639" i="1"/>
  <c r="X639" i="1" s="1"/>
  <c r="I639" i="1"/>
  <c r="Z638" i="1"/>
  <c r="Y638" i="1"/>
  <c r="AB638" i="1" s="1"/>
  <c r="X638" i="1"/>
  <c r="W638" i="1"/>
  <c r="K638" i="1"/>
  <c r="I638" i="1"/>
  <c r="L638" i="1" s="1"/>
  <c r="AA638" i="1" s="1"/>
  <c r="K637" i="1"/>
  <c r="X637" i="1" s="1"/>
  <c r="I637" i="1"/>
  <c r="AB636" i="1"/>
  <c r="Z636" i="1"/>
  <c r="K636" i="1"/>
  <c r="X636" i="1" s="1"/>
  <c r="I636" i="1"/>
  <c r="W636" i="1" s="1"/>
  <c r="Y636" i="1" s="1"/>
  <c r="X635" i="1"/>
  <c r="W635" i="1"/>
  <c r="U635" i="1"/>
  <c r="L635" i="1"/>
  <c r="K635" i="1"/>
  <c r="I635" i="1"/>
  <c r="X634" i="1"/>
  <c r="W634" i="1"/>
  <c r="Y634" i="1" s="1"/>
  <c r="U634" i="1"/>
  <c r="K634" i="1"/>
  <c r="I634" i="1"/>
  <c r="L634" i="1" s="1"/>
  <c r="K633" i="1"/>
  <c r="X633" i="1" s="1"/>
  <c r="I633" i="1"/>
  <c r="K632" i="1"/>
  <c r="X632" i="1" s="1"/>
  <c r="I632" i="1"/>
  <c r="W631" i="1"/>
  <c r="K631" i="1"/>
  <c r="X631" i="1" s="1"/>
  <c r="I631" i="1"/>
  <c r="Z630" i="1"/>
  <c r="Y630" i="1"/>
  <c r="AB630" i="1" s="1"/>
  <c r="X630" i="1"/>
  <c r="W630" i="1"/>
  <c r="K630" i="1"/>
  <c r="I630" i="1"/>
  <c r="L630" i="1" s="1"/>
  <c r="AA630" i="1" s="1"/>
  <c r="K629" i="1"/>
  <c r="X629" i="1" s="1"/>
  <c r="I629" i="1"/>
  <c r="X628" i="1"/>
  <c r="K628" i="1"/>
  <c r="I628" i="1"/>
  <c r="W628" i="1" s="1"/>
  <c r="X627" i="1"/>
  <c r="W627" i="1"/>
  <c r="K627" i="1"/>
  <c r="L627" i="1" s="1"/>
  <c r="I627" i="1"/>
  <c r="Y626" i="1"/>
  <c r="X626" i="1"/>
  <c r="W626" i="1"/>
  <c r="K626" i="1"/>
  <c r="I626" i="1"/>
  <c r="K625" i="1"/>
  <c r="X625" i="1" s="1"/>
  <c r="I625" i="1"/>
  <c r="X624" i="1"/>
  <c r="K624" i="1"/>
  <c r="I624" i="1"/>
  <c r="W624" i="1" s="1"/>
  <c r="Y624" i="1" s="1"/>
  <c r="AB624" i="1" s="1"/>
  <c r="Z623" i="1"/>
  <c r="W623" i="1"/>
  <c r="K623" i="1"/>
  <c r="X623" i="1" s="1"/>
  <c r="Y623" i="1" s="1"/>
  <c r="AB623" i="1" s="1"/>
  <c r="I623" i="1"/>
  <c r="X622" i="1"/>
  <c r="K622" i="1"/>
  <c r="I622" i="1"/>
  <c r="K621" i="1"/>
  <c r="X621" i="1" s="1"/>
  <c r="I621" i="1"/>
  <c r="W621" i="1" s="1"/>
  <c r="Y621" i="1" s="1"/>
  <c r="W620" i="1"/>
  <c r="L620" i="1"/>
  <c r="K620" i="1"/>
  <c r="X620" i="1" s="1"/>
  <c r="I620" i="1"/>
  <c r="X619" i="1"/>
  <c r="W619" i="1"/>
  <c r="Y619" i="1" s="1"/>
  <c r="U619" i="1"/>
  <c r="L619" i="1"/>
  <c r="K619" i="1"/>
  <c r="I619" i="1"/>
  <c r="X618" i="1"/>
  <c r="W618" i="1"/>
  <c r="Y618" i="1" s="1"/>
  <c r="K618" i="1"/>
  <c r="I618" i="1"/>
  <c r="L618" i="1" s="1"/>
  <c r="U618" i="1" s="1"/>
  <c r="Y617" i="1"/>
  <c r="X617" i="1"/>
  <c r="K617" i="1"/>
  <c r="I617" i="1"/>
  <c r="W617" i="1" s="1"/>
  <c r="X616" i="1"/>
  <c r="K616" i="1"/>
  <c r="I616" i="1"/>
  <c r="W616" i="1" s="1"/>
  <c r="Y616" i="1" s="1"/>
  <c r="AB616" i="1" s="1"/>
  <c r="Z615" i="1"/>
  <c r="W615" i="1"/>
  <c r="K615" i="1"/>
  <c r="X615" i="1" s="1"/>
  <c r="Y615" i="1" s="1"/>
  <c r="AB615" i="1" s="1"/>
  <c r="I615" i="1"/>
  <c r="X614" i="1"/>
  <c r="K614" i="1"/>
  <c r="I614" i="1"/>
  <c r="K613" i="1"/>
  <c r="X613" i="1" s="1"/>
  <c r="I613" i="1"/>
  <c r="W613" i="1" s="1"/>
  <c r="Y613" i="1" s="1"/>
  <c r="W612" i="1"/>
  <c r="K612" i="1"/>
  <c r="X612" i="1" s="1"/>
  <c r="I612" i="1"/>
  <c r="X611" i="1"/>
  <c r="W611" i="1"/>
  <c r="Y611" i="1" s="1"/>
  <c r="L611" i="1"/>
  <c r="K611" i="1"/>
  <c r="I611" i="1"/>
  <c r="X610" i="1"/>
  <c r="W610" i="1"/>
  <c r="Y610" i="1" s="1"/>
  <c r="K610" i="1"/>
  <c r="I610" i="1"/>
  <c r="L610" i="1" s="1"/>
  <c r="U610" i="1" s="1"/>
  <c r="Y609" i="1"/>
  <c r="X609" i="1"/>
  <c r="K609" i="1"/>
  <c r="I609" i="1"/>
  <c r="W609" i="1" s="1"/>
  <c r="X608" i="1"/>
  <c r="L608" i="1"/>
  <c r="K608" i="1"/>
  <c r="I608" i="1"/>
  <c r="W608" i="1" s="1"/>
  <c r="W607" i="1"/>
  <c r="K607" i="1"/>
  <c r="I607" i="1"/>
  <c r="X606" i="1"/>
  <c r="K606" i="1"/>
  <c r="I606" i="1"/>
  <c r="K605" i="1"/>
  <c r="X605" i="1" s="1"/>
  <c r="I605" i="1"/>
  <c r="W604" i="1"/>
  <c r="Y604" i="1" s="1"/>
  <c r="K604" i="1"/>
  <c r="X604" i="1" s="1"/>
  <c r="I604" i="1"/>
  <c r="Z603" i="1"/>
  <c r="X603" i="1"/>
  <c r="W603" i="1"/>
  <c r="Y603" i="1" s="1"/>
  <c r="AB603" i="1" s="1"/>
  <c r="L603" i="1"/>
  <c r="K603" i="1"/>
  <c r="I603" i="1"/>
  <c r="X602" i="1"/>
  <c r="K602" i="1"/>
  <c r="I602" i="1"/>
  <c r="X601" i="1"/>
  <c r="Y601" i="1" s="1"/>
  <c r="K601" i="1"/>
  <c r="I601" i="1"/>
  <c r="W601" i="1" s="1"/>
  <c r="X600" i="1"/>
  <c r="K600" i="1"/>
  <c r="I600" i="1"/>
  <c r="W599" i="1"/>
  <c r="K599" i="1"/>
  <c r="I599" i="1"/>
  <c r="X598" i="1"/>
  <c r="K598" i="1"/>
  <c r="I598" i="1"/>
  <c r="K597" i="1"/>
  <c r="X597" i="1" s="1"/>
  <c r="I597" i="1"/>
  <c r="W596" i="1"/>
  <c r="K596" i="1"/>
  <c r="I596" i="1"/>
  <c r="X595" i="1"/>
  <c r="W595" i="1"/>
  <c r="L595" i="1"/>
  <c r="K595" i="1"/>
  <c r="I595" i="1"/>
  <c r="X594" i="1"/>
  <c r="K594" i="1"/>
  <c r="I594" i="1"/>
  <c r="L594" i="1" s="1"/>
  <c r="X593" i="1"/>
  <c r="Y593" i="1" s="1"/>
  <c r="K593" i="1"/>
  <c r="I593" i="1"/>
  <c r="W593" i="1" s="1"/>
  <c r="Z592" i="1"/>
  <c r="X592" i="1"/>
  <c r="L592" i="1"/>
  <c r="U592" i="1" s="1"/>
  <c r="K592" i="1"/>
  <c r="I592" i="1"/>
  <c r="W592" i="1" s="1"/>
  <c r="Y592" i="1" s="1"/>
  <c r="AB592" i="1" s="1"/>
  <c r="W591" i="1"/>
  <c r="K591" i="1"/>
  <c r="I591" i="1"/>
  <c r="L590" i="1"/>
  <c r="K590" i="1"/>
  <c r="X590" i="1" s="1"/>
  <c r="I590" i="1"/>
  <c r="W590" i="1" s="1"/>
  <c r="X589" i="1"/>
  <c r="W589" i="1"/>
  <c r="L589" i="1"/>
  <c r="K589" i="1"/>
  <c r="I589" i="1"/>
  <c r="W588" i="1"/>
  <c r="K588" i="1"/>
  <c r="X588" i="1" s="1"/>
  <c r="Y588" i="1" s="1"/>
  <c r="AB588" i="1" s="1"/>
  <c r="I588" i="1"/>
  <c r="L588" i="1" s="1"/>
  <c r="K587" i="1"/>
  <c r="X587" i="1" s="1"/>
  <c r="I587" i="1"/>
  <c r="X586" i="1"/>
  <c r="U586" i="1"/>
  <c r="L586" i="1"/>
  <c r="K586" i="1"/>
  <c r="I586" i="1"/>
  <c r="W586" i="1" s="1"/>
  <c r="X585" i="1"/>
  <c r="W585" i="1"/>
  <c r="L585" i="1"/>
  <c r="K585" i="1"/>
  <c r="I585" i="1"/>
  <c r="W584" i="1"/>
  <c r="K584" i="1"/>
  <c r="X584" i="1" s="1"/>
  <c r="Y584" i="1" s="1"/>
  <c r="I584" i="1"/>
  <c r="K583" i="1"/>
  <c r="X583" i="1" s="1"/>
  <c r="I583" i="1"/>
  <c r="L582" i="1"/>
  <c r="K582" i="1"/>
  <c r="X582" i="1" s="1"/>
  <c r="I582" i="1"/>
  <c r="W582" i="1" s="1"/>
  <c r="X581" i="1"/>
  <c r="W581" i="1"/>
  <c r="U581" i="1"/>
  <c r="L581" i="1"/>
  <c r="K581" i="1"/>
  <c r="I581" i="1"/>
  <c r="W580" i="1"/>
  <c r="K580" i="1"/>
  <c r="X580" i="1" s="1"/>
  <c r="Y580" i="1" s="1"/>
  <c r="AB580" i="1" s="1"/>
  <c r="I580" i="1"/>
  <c r="L580" i="1" s="1"/>
  <c r="K579" i="1"/>
  <c r="X579" i="1" s="1"/>
  <c r="I579" i="1"/>
  <c r="X578" i="1"/>
  <c r="U578" i="1"/>
  <c r="L578" i="1"/>
  <c r="K578" i="1"/>
  <c r="I578" i="1"/>
  <c r="W578" i="1" s="1"/>
  <c r="X577" i="1"/>
  <c r="W577" i="1"/>
  <c r="L577" i="1"/>
  <c r="K577" i="1"/>
  <c r="I577" i="1"/>
  <c r="Y576" i="1"/>
  <c r="W576" i="1"/>
  <c r="K576" i="1"/>
  <c r="X576" i="1" s="1"/>
  <c r="I576" i="1"/>
  <c r="K575" i="1"/>
  <c r="X575" i="1" s="1"/>
  <c r="I575" i="1"/>
  <c r="L574" i="1"/>
  <c r="K574" i="1"/>
  <c r="X574" i="1" s="1"/>
  <c r="I574" i="1"/>
  <c r="W574" i="1" s="1"/>
  <c r="X573" i="1"/>
  <c r="W573" i="1"/>
  <c r="U573" i="1"/>
  <c r="L573" i="1"/>
  <c r="K573" i="1"/>
  <c r="I573" i="1"/>
  <c r="Z572" i="1"/>
  <c r="W572" i="1"/>
  <c r="K572" i="1"/>
  <c r="X572" i="1" s="1"/>
  <c r="Y572" i="1" s="1"/>
  <c r="AB572" i="1" s="1"/>
  <c r="I572" i="1"/>
  <c r="L572" i="1" s="1"/>
  <c r="K571" i="1"/>
  <c r="X571" i="1" s="1"/>
  <c r="I571" i="1"/>
  <c r="X570" i="1"/>
  <c r="U570" i="1"/>
  <c r="L570" i="1"/>
  <c r="K570" i="1"/>
  <c r="I570" i="1"/>
  <c r="W570" i="1" s="1"/>
  <c r="X569" i="1"/>
  <c r="W569" i="1"/>
  <c r="L569" i="1"/>
  <c r="K569" i="1"/>
  <c r="I569" i="1"/>
  <c r="W568" i="1"/>
  <c r="K568" i="1"/>
  <c r="X568" i="1" s="1"/>
  <c r="Y568" i="1" s="1"/>
  <c r="I568" i="1"/>
  <c r="K567" i="1"/>
  <c r="X567" i="1" s="1"/>
  <c r="I567" i="1"/>
  <c r="X566" i="1"/>
  <c r="L566" i="1"/>
  <c r="K566" i="1"/>
  <c r="I566" i="1"/>
  <c r="W566" i="1" s="1"/>
  <c r="Y566" i="1" s="1"/>
  <c r="Z566" i="1" s="1"/>
  <c r="X565" i="1"/>
  <c r="W565" i="1"/>
  <c r="U565" i="1"/>
  <c r="L565" i="1"/>
  <c r="K565" i="1"/>
  <c r="I565" i="1"/>
  <c r="K564" i="1"/>
  <c r="X564" i="1" s="1"/>
  <c r="I564" i="1"/>
  <c r="K563" i="1"/>
  <c r="X563" i="1" s="1"/>
  <c r="I563" i="1"/>
  <c r="W563" i="1" s="1"/>
  <c r="K562" i="1"/>
  <c r="X562" i="1" s="1"/>
  <c r="I562" i="1"/>
  <c r="W562" i="1" s="1"/>
  <c r="Y562" i="1" s="1"/>
  <c r="Y561" i="1"/>
  <c r="X561" i="1"/>
  <c r="W561" i="1"/>
  <c r="U561" i="1"/>
  <c r="L561" i="1"/>
  <c r="K561" i="1"/>
  <c r="I561" i="1"/>
  <c r="K560" i="1"/>
  <c r="X560" i="1" s="1"/>
  <c r="I560" i="1"/>
  <c r="K559" i="1"/>
  <c r="X559" i="1" s="1"/>
  <c r="I559" i="1"/>
  <c r="W559" i="1" s="1"/>
  <c r="K558" i="1"/>
  <c r="X558" i="1" s="1"/>
  <c r="I558" i="1"/>
  <c r="W558" i="1" s="1"/>
  <c r="Y558" i="1" s="1"/>
  <c r="Y557" i="1"/>
  <c r="X557" i="1"/>
  <c r="W557" i="1"/>
  <c r="U557" i="1"/>
  <c r="L557" i="1"/>
  <c r="K557" i="1"/>
  <c r="I557" i="1"/>
  <c r="K556" i="1"/>
  <c r="X556" i="1" s="1"/>
  <c r="I556" i="1"/>
  <c r="AA555" i="1"/>
  <c r="L555" i="1"/>
  <c r="U555" i="1" s="1"/>
  <c r="K555" i="1"/>
  <c r="X555" i="1" s="1"/>
  <c r="I555" i="1"/>
  <c r="W555" i="1" s="1"/>
  <c r="Y555" i="1" s="1"/>
  <c r="K554" i="1"/>
  <c r="X554" i="1" s="1"/>
  <c r="I554" i="1"/>
  <c r="X553" i="1"/>
  <c r="W553" i="1"/>
  <c r="Y553" i="1" s="1"/>
  <c r="L553" i="1"/>
  <c r="K553" i="1"/>
  <c r="I553" i="1"/>
  <c r="Y552" i="1"/>
  <c r="W552" i="1"/>
  <c r="L552" i="1"/>
  <c r="K552" i="1"/>
  <c r="X552" i="1" s="1"/>
  <c r="I552" i="1"/>
  <c r="W551" i="1"/>
  <c r="Y551" i="1" s="1"/>
  <c r="AB551" i="1" s="1"/>
  <c r="U551" i="1"/>
  <c r="L551" i="1"/>
  <c r="AA551" i="1" s="1"/>
  <c r="K551" i="1"/>
  <c r="X551" i="1" s="1"/>
  <c r="I551" i="1"/>
  <c r="AA550" i="1"/>
  <c r="X550" i="1"/>
  <c r="W550" i="1"/>
  <c r="Y550" i="1" s="1"/>
  <c r="K550" i="1"/>
  <c r="L550" i="1" s="1"/>
  <c r="U550" i="1" s="1"/>
  <c r="I550" i="1"/>
  <c r="X549" i="1"/>
  <c r="K549" i="1"/>
  <c r="I549" i="1"/>
  <c r="Z548" i="1"/>
  <c r="K548" i="1"/>
  <c r="X548" i="1" s="1"/>
  <c r="I548" i="1"/>
  <c r="W548" i="1" s="1"/>
  <c r="Y548" i="1" s="1"/>
  <c r="AB548" i="1" s="1"/>
  <c r="L547" i="1"/>
  <c r="U547" i="1" s="1"/>
  <c r="K547" i="1"/>
  <c r="X547" i="1" s="1"/>
  <c r="I547" i="1"/>
  <c r="W547" i="1" s="1"/>
  <c r="Y547" i="1" s="1"/>
  <c r="K546" i="1"/>
  <c r="X546" i="1" s="1"/>
  <c r="I546" i="1"/>
  <c r="X545" i="1"/>
  <c r="W545" i="1"/>
  <c r="Y545" i="1" s="1"/>
  <c r="L545" i="1"/>
  <c r="K545" i="1"/>
  <c r="I545" i="1"/>
  <c r="Y544" i="1"/>
  <c r="W544" i="1"/>
  <c r="L544" i="1"/>
  <c r="K544" i="1"/>
  <c r="X544" i="1" s="1"/>
  <c r="I544" i="1"/>
  <c r="W543" i="1"/>
  <c r="Y543" i="1" s="1"/>
  <c r="AB543" i="1" s="1"/>
  <c r="U543" i="1"/>
  <c r="L543" i="1"/>
  <c r="K543" i="1"/>
  <c r="X543" i="1" s="1"/>
  <c r="I543" i="1"/>
  <c r="X542" i="1"/>
  <c r="W542" i="1"/>
  <c r="Y542" i="1" s="1"/>
  <c r="U542" i="1"/>
  <c r="L542" i="1"/>
  <c r="K542" i="1"/>
  <c r="I542" i="1"/>
  <c r="X541" i="1"/>
  <c r="K541" i="1"/>
  <c r="I541" i="1"/>
  <c r="L540" i="1"/>
  <c r="K540" i="1"/>
  <c r="X540" i="1" s="1"/>
  <c r="I540" i="1"/>
  <c r="W540" i="1" s="1"/>
  <c r="W539" i="1"/>
  <c r="K539" i="1"/>
  <c r="I539" i="1"/>
  <c r="Y538" i="1"/>
  <c r="X538" i="1"/>
  <c r="W538" i="1"/>
  <c r="U538" i="1"/>
  <c r="L538" i="1"/>
  <c r="K538" i="1"/>
  <c r="I538" i="1"/>
  <c r="X537" i="1"/>
  <c r="K537" i="1"/>
  <c r="I537" i="1"/>
  <c r="L536" i="1"/>
  <c r="K536" i="1"/>
  <c r="X536" i="1" s="1"/>
  <c r="I536" i="1"/>
  <c r="W536" i="1" s="1"/>
  <c r="Y536" i="1" s="1"/>
  <c r="AB536" i="1" s="1"/>
  <c r="W535" i="1"/>
  <c r="K535" i="1"/>
  <c r="I535" i="1"/>
  <c r="Y534" i="1"/>
  <c r="X534" i="1"/>
  <c r="W534" i="1"/>
  <c r="U534" i="1"/>
  <c r="L534" i="1"/>
  <c r="AA534" i="1" s="1"/>
  <c r="K534" i="1"/>
  <c r="I534" i="1"/>
  <c r="X533" i="1"/>
  <c r="K533" i="1"/>
  <c r="I533" i="1"/>
  <c r="L532" i="1"/>
  <c r="K532" i="1"/>
  <c r="X532" i="1" s="1"/>
  <c r="I532" i="1"/>
  <c r="W532" i="1" s="1"/>
  <c r="W531" i="1"/>
  <c r="K531" i="1"/>
  <c r="I531" i="1"/>
  <c r="Y530" i="1"/>
  <c r="X530" i="1"/>
  <c r="W530" i="1"/>
  <c r="U530" i="1"/>
  <c r="L530" i="1"/>
  <c r="AA530" i="1" s="1"/>
  <c r="K530" i="1"/>
  <c r="I530" i="1"/>
  <c r="X529" i="1"/>
  <c r="K529" i="1"/>
  <c r="I529" i="1"/>
  <c r="Z528" i="1"/>
  <c r="L528" i="1"/>
  <c r="K528" i="1"/>
  <c r="X528" i="1" s="1"/>
  <c r="I528" i="1"/>
  <c r="W528" i="1" s="1"/>
  <c r="Y528" i="1" s="1"/>
  <c r="AB528" i="1" s="1"/>
  <c r="W527" i="1"/>
  <c r="K527" i="1"/>
  <c r="I527" i="1"/>
  <c r="Y526" i="1"/>
  <c r="X526" i="1"/>
  <c r="W526" i="1"/>
  <c r="U526" i="1"/>
  <c r="L526" i="1"/>
  <c r="K526" i="1"/>
  <c r="I526" i="1"/>
  <c r="X525" i="1"/>
  <c r="K525" i="1"/>
  <c r="I525" i="1"/>
  <c r="L524" i="1"/>
  <c r="K524" i="1"/>
  <c r="X524" i="1" s="1"/>
  <c r="I524" i="1"/>
  <c r="W524" i="1" s="1"/>
  <c r="W523" i="1"/>
  <c r="K523" i="1"/>
  <c r="I523" i="1"/>
  <c r="Y522" i="1"/>
  <c r="X522" i="1"/>
  <c r="W522" i="1"/>
  <c r="U522" i="1"/>
  <c r="L522" i="1"/>
  <c r="AA522" i="1" s="1"/>
  <c r="K522" i="1"/>
  <c r="I522" i="1"/>
  <c r="X521" i="1"/>
  <c r="K521" i="1"/>
  <c r="I521" i="1"/>
  <c r="L520" i="1"/>
  <c r="K520" i="1"/>
  <c r="X520" i="1" s="1"/>
  <c r="I520" i="1"/>
  <c r="W520" i="1" s="1"/>
  <c r="Y520" i="1" s="1"/>
  <c r="W519" i="1"/>
  <c r="K519" i="1"/>
  <c r="I519" i="1"/>
  <c r="Y518" i="1"/>
  <c r="X518" i="1"/>
  <c r="W518" i="1"/>
  <c r="U518" i="1"/>
  <c r="L518" i="1"/>
  <c r="K518" i="1"/>
  <c r="I518" i="1"/>
  <c r="X517" i="1"/>
  <c r="K517" i="1"/>
  <c r="I517" i="1"/>
  <c r="L516" i="1"/>
  <c r="K516" i="1"/>
  <c r="X516" i="1" s="1"/>
  <c r="I516" i="1"/>
  <c r="W516" i="1" s="1"/>
  <c r="W515" i="1"/>
  <c r="K515" i="1"/>
  <c r="I515" i="1"/>
  <c r="Y514" i="1"/>
  <c r="X514" i="1"/>
  <c r="W514" i="1"/>
  <c r="U514" i="1"/>
  <c r="L514" i="1"/>
  <c r="K514" i="1"/>
  <c r="I514" i="1"/>
  <c r="X513" i="1"/>
  <c r="K513" i="1"/>
  <c r="I513" i="1"/>
  <c r="L512" i="1"/>
  <c r="K512" i="1"/>
  <c r="X512" i="1" s="1"/>
  <c r="I512" i="1"/>
  <c r="W512" i="1" s="1"/>
  <c r="Y512" i="1" s="1"/>
  <c r="AB512" i="1" s="1"/>
  <c r="W511" i="1"/>
  <c r="K511" i="1"/>
  <c r="I511" i="1"/>
  <c r="Y510" i="1"/>
  <c r="X510" i="1"/>
  <c r="W510" i="1"/>
  <c r="U510" i="1"/>
  <c r="L510" i="1"/>
  <c r="AA510" i="1" s="1"/>
  <c r="K510" i="1"/>
  <c r="I510" i="1"/>
  <c r="X509" i="1"/>
  <c r="K509" i="1"/>
  <c r="I509" i="1"/>
  <c r="L508" i="1"/>
  <c r="K508" i="1"/>
  <c r="X508" i="1" s="1"/>
  <c r="I508" i="1"/>
  <c r="W508" i="1" s="1"/>
  <c r="W507" i="1"/>
  <c r="K507" i="1"/>
  <c r="I507" i="1"/>
  <c r="Y506" i="1"/>
  <c r="X506" i="1"/>
  <c r="W506" i="1"/>
  <c r="U506" i="1"/>
  <c r="L506" i="1"/>
  <c r="K506" i="1"/>
  <c r="I506" i="1"/>
  <c r="X505" i="1"/>
  <c r="K505" i="1"/>
  <c r="I505" i="1"/>
  <c r="L504" i="1"/>
  <c r="K504" i="1"/>
  <c r="X504" i="1" s="1"/>
  <c r="I504" i="1"/>
  <c r="W504" i="1" s="1"/>
  <c r="Y504" i="1" s="1"/>
  <c r="AB504" i="1" s="1"/>
  <c r="W503" i="1"/>
  <c r="Y503" i="1" s="1"/>
  <c r="Z503" i="1" s="1"/>
  <c r="K503" i="1"/>
  <c r="X503" i="1" s="1"/>
  <c r="I503" i="1"/>
  <c r="L503" i="1" s="1"/>
  <c r="Y502" i="1"/>
  <c r="X502" i="1"/>
  <c r="W502" i="1"/>
  <c r="U502" i="1"/>
  <c r="L502" i="1"/>
  <c r="AA502" i="1" s="1"/>
  <c r="K502" i="1"/>
  <c r="I502" i="1"/>
  <c r="X501" i="1"/>
  <c r="K501" i="1"/>
  <c r="I501" i="1"/>
  <c r="L501" i="1" s="1"/>
  <c r="U501" i="1" s="1"/>
  <c r="Y500" i="1"/>
  <c r="K500" i="1"/>
  <c r="X500" i="1" s="1"/>
  <c r="I500" i="1"/>
  <c r="W500" i="1" s="1"/>
  <c r="W499" i="1"/>
  <c r="K499" i="1"/>
  <c r="I499" i="1"/>
  <c r="X498" i="1"/>
  <c r="W498" i="1"/>
  <c r="Y498" i="1" s="1"/>
  <c r="L498" i="1"/>
  <c r="K498" i="1"/>
  <c r="I498" i="1"/>
  <c r="X497" i="1"/>
  <c r="K497" i="1"/>
  <c r="I497" i="1"/>
  <c r="L497" i="1" s="1"/>
  <c r="U497" i="1" s="1"/>
  <c r="K496" i="1"/>
  <c r="X496" i="1" s="1"/>
  <c r="I496" i="1"/>
  <c r="W496" i="1" s="1"/>
  <c r="Y496" i="1" s="1"/>
  <c r="W495" i="1"/>
  <c r="Y495" i="1" s="1"/>
  <c r="Z495" i="1" s="1"/>
  <c r="L495" i="1"/>
  <c r="K495" i="1"/>
  <c r="X495" i="1" s="1"/>
  <c r="I495" i="1"/>
  <c r="X494" i="1"/>
  <c r="W494" i="1"/>
  <c r="Y494" i="1" s="1"/>
  <c r="U494" i="1"/>
  <c r="L494" i="1"/>
  <c r="K494" i="1"/>
  <c r="I494" i="1"/>
  <c r="X493" i="1"/>
  <c r="K493" i="1"/>
  <c r="I493" i="1"/>
  <c r="L493" i="1" s="1"/>
  <c r="U493" i="1" s="1"/>
  <c r="K492" i="1"/>
  <c r="X492" i="1" s="1"/>
  <c r="I492" i="1"/>
  <c r="W492" i="1" s="1"/>
  <c r="Y492" i="1" s="1"/>
  <c r="W491" i="1"/>
  <c r="Y491" i="1" s="1"/>
  <c r="K491" i="1"/>
  <c r="X491" i="1" s="1"/>
  <c r="I491" i="1"/>
  <c r="L491" i="1" s="1"/>
  <c r="X490" i="1"/>
  <c r="W490" i="1"/>
  <c r="Y490" i="1" s="1"/>
  <c r="L490" i="1"/>
  <c r="K490" i="1"/>
  <c r="I490" i="1"/>
  <c r="X489" i="1"/>
  <c r="K489" i="1"/>
  <c r="I489" i="1"/>
  <c r="K488" i="1"/>
  <c r="X488" i="1" s="1"/>
  <c r="I488" i="1"/>
  <c r="W488" i="1" s="1"/>
  <c r="Y488" i="1" s="1"/>
  <c r="K487" i="1"/>
  <c r="X487" i="1" s="1"/>
  <c r="I487" i="1"/>
  <c r="W487" i="1" s="1"/>
  <c r="Y487" i="1" s="1"/>
  <c r="X486" i="1"/>
  <c r="W486" i="1"/>
  <c r="Y486" i="1" s="1"/>
  <c r="U486" i="1"/>
  <c r="L486" i="1"/>
  <c r="K486" i="1"/>
  <c r="I486" i="1"/>
  <c r="X485" i="1"/>
  <c r="W485" i="1"/>
  <c r="Y485" i="1" s="1"/>
  <c r="K485" i="1"/>
  <c r="I485" i="1"/>
  <c r="L485" i="1" s="1"/>
  <c r="U485" i="1" s="1"/>
  <c r="K484" i="1"/>
  <c r="X484" i="1" s="1"/>
  <c r="Y484" i="1" s="1"/>
  <c r="I484" i="1"/>
  <c r="W484" i="1" s="1"/>
  <c r="K483" i="1"/>
  <c r="X483" i="1" s="1"/>
  <c r="I483" i="1"/>
  <c r="W483" i="1" s="1"/>
  <c r="Y483" i="1" s="1"/>
  <c r="Z483" i="1" s="1"/>
  <c r="X482" i="1"/>
  <c r="W482" i="1"/>
  <c r="Y482" i="1" s="1"/>
  <c r="L482" i="1"/>
  <c r="K482" i="1"/>
  <c r="I482" i="1"/>
  <c r="X481" i="1"/>
  <c r="W481" i="1"/>
  <c r="Y481" i="1" s="1"/>
  <c r="K481" i="1"/>
  <c r="I481" i="1"/>
  <c r="L481" i="1" s="1"/>
  <c r="U481" i="1" s="1"/>
  <c r="K480" i="1"/>
  <c r="X480" i="1" s="1"/>
  <c r="I480" i="1"/>
  <c r="K479" i="1"/>
  <c r="X479" i="1" s="1"/>
  <c r="I479" i="1"/>
  <c r="W479" i="1" s="1"/>
  <c r="Y479" i="1" s="1"/>
  <c r="Y478" i="1"/>
  <c r="X478" i="1"/>
  <c r="W478" i="1"/>
  <c r="L478" i="1"/>
  <c r="K478" i="1"/>
  <c r="I478" i="1"/>
  <c r="X477" i="1"/>
  <c r="K477" i="1"/>
  <c r="I477" i="1"/>
  <c r="L477" i="1" s="1"/>
  <c r="U477" i="1" s="1"/>
  <c r="Y476" i="1"/>
  <c r="K476" i="1"/>
  <c r="X476" i="1" s="1"/>
  <c r="I476" i="1"/>
  <c r="W476" i="1" s="1"/>
  <c r="W475" i="1"/>
  <c r="Y475" i="1" s="1"/>
  <c r="Z475" i="1" s="1"/>
  <c r="L475" i="1"/>
  <c r="K475" i="1"/>
  <c r="X475" i="1" s="1"/>
  <c r="I475" i="1"/>
  <c r="X474" i="1"/>
  <c r="Y474" i="1" s="1"/>
  <c r="W474" i="1"/>
  <c r="U474" i="1"/>
  <c r="L474" i="1"/>
  <c r="K474" i="1"/>
  <c r="I474" i="1"/>
  <c r="X473" i="1"/>
  <c r="K473" i="1"/>
  <c r="I473" i="1"/>
  <c r="K472" i="1"/>
  <c r="X472" i="1" s="1"/>
  <c r="Y472" i="1" s="1"/>
  <c r="I472" i="1"/>
  <c r="W472" i="1" s="1"/>
  <c r="AB471" i="1"/>
  <c r="K471" i="1"/>
  <c r="X471" i="1" s="1"/>
  <c r="I471" i="1"/>
  <c r="W471" i="1" s="1"/>
  <c r="Y471" i="1" s="1"/>
  <c r="Z471" i="1" s="1"/>
  <c r="X470" i="1"/>
  <c r="Y470" i="1" s="1"/>
  <c r="W470" i="1"/>
  <c r="L470" i="1"/>
  <c r="K470" i="1"/>
  <c r="I470" i="1"/>
  <c r="X469" i="1"/>
  <c r="K469" i="1"/>
  <c r="I469" i="1"/>
  <c r="L469" i="1" s="1"/>
  <c r="U469" i="1" s="1"/>
  <c r="Y468" i="1"/>
  <c r="K468" i="1"/>
  <c r="X468" i="1" s="1"/>
  <c r="I468" i="1"/>
  <c r="W468" i="1" s="1"/>
  <c r="W467" i="1"/>
  <c r="Y467" i="1" s="1"/>
  <c r="Z467" i="1" s="1"/>
  <c r="L467" i="1"/>
  <c r="K467" i="1"/>
  <c r="X467" i="1" s="1"/>
  <c r="I467" i="1"/>
  <c r="X466" i="1"/>
  <c r="Y466" i="1" s="1"/>
  <c r="W466" i="1"/>
  <c r="U466" i="1"/>
  <c r="L466" i="1"/>
  <c r="K466" i="1"/>
  <c r="I466" i="1"/>
  <c r="X465" i="1"/>
  <c r="W465" i="1"/>
  <c r="Y465" i="1" s="1"/>
  <c r="U465" i="1"/>
  <c r="K465" i="1"/>
  <c r="I465" i="1"/>
  <c r="L465" i="1" s="1"/>
  <c r="K464" i="1"/>
  <c r="I464" i="1"/>
  <c r="W464" i="1" s="1"/>
  <c r="W463" i="1"/>
  <c r="K463" i="1"/>
  <c r="I463" i="1"/>
  <c r="W462" i="1"/>
  <c r="K462" i="1"/>
  <c r="I462" i="1"/>
  <c r="X461" i="1"/>
  <c r="W461" i="1"/>
  <c r="Y461" i="1" s="1"/>
  <c r="U461" i="1"/>
  <c r="K461" i="1"/>
  <c r="I461" i="1"/>
  <c r="L461" i="1" s="1"/>
  <c r="K460" i="1"/>
  <c r="I460" i="1"/>
  <c r="W460" i="1" s="1"/>
  <c r="W459" i="1"/>
  <c r="K459" i="1"/>
  <c r="I459" i="1"/>
  <c r="W458" i="1"/>
  <c r="K458" i="1"/>
  <c r="I458" i="1"/>
  <c r="X457" i="1"/>
  <c r="W457" i="1"/>
  <c r="Y457" i="1" s="1"/>
  <c r="U457" i="1"/>
  <c r="K457" i="1"/>
  <c r="I457" i="1"/>
  <c r="L457" i="1" s="1"/>
  <c r="AA457" i="1" s="1"/>
  <c r="K456" i="1"/>
  <c r="I456" i="1"/>
  <c r="W456" i="1" s="1"/>
  <c r="W455" i="1"/>
  <c r="K455" i="1"/>
  <c r="I455" i="1"/>
  <c r="W454" i="1"/>
  <c r="K454" i="1"/>
  <c r="I454" i="1"/>
  <c r="X453" i="1"/>
  <c r="W453" i="1"/>
  <c r="Y453" i="1" s="1"/>
  <c r="U453" i="1"/>
  <c r="K453" i="1"/>
  <c r="I453" i="1"/>
  <c r="L453" i="1" s="1"/>
  <c r="K452" i="1"/>
  <c r="I452" i="1"/>
  <c r="W452" i="1" s="1"/>
  <c r="W451" i="1"/>
  <c r="K451" i="1"/>
  <c r="I451" i="1"/>
  <c r="W450" i="1"/>
  <c r="K450" i="1"/>
  <c r="I450" i="1"/>
  <c r="X449" i="1"/>
  <c r="W449" i="1"/>
  <c r="Y449" i="1" s="1"/>
  <c r="U449" i="1"/>
  <c r="K449" i="1"/>
  <c r="I449" i="1"/>
  <c r="L449" i="1" s="1"/>
  <c r="K448" i="1"/>
  <c r="I448" i="1"/>
  <c r="W448" i="1" s="1"/>
  <c r="K447" i="1"/>
  <c r="I447" i="1"/>
  <c r="W447" i="1" s="1"/>
  <c r="W446" i="1"/>
  <c r="K446" i="1"/>
  <c r="I446" i="1"/>
  <c r="X445" i="1"/>
  <c r="W445" i="1"/>
  <c r="Y445" i="1" s="1"/>
  <c r="U445" i="1"/>
  <c r="K445" i="1"/>
  <c r="I445" i="1"/>
  <c r="L445" i="1" s="1"/>
  <c r="AA445" i="1" s="1"/>
  <c r="K444" i="1"/>
  <c r="I444" i="1"/>
  <c r="W444" i="1" s="1"/>
  <c r="K443" i="1"/>
  <c r="I443" i="1"/>
  <c r="W443" i="1" s="1"/>
  <c r="K442" i="1"/>
  <c r="I442" i="1"/>
  <c r="W442" i="1" s="1"/>
  <c r="X441" i="1"/>
  <c r="W441" i="1"/>
  <c r="Y441" i="1" s="1"/>
  <c r="L441" i="1"/>
  <c r="K441" i="1"/>
  <c r="I441" i="1"/>
  <c r="X440" i="1"/>
  <c r="W440" i="1"/>
  <c r="Y440" i="1" s="1"/>
  <c r="L440" i="1"/>
  <c r="U440" i="1" s="1"/>
  <c r="K440" i="1"/>
  <c r="I440" i="1"/>
  <c r="W439" i="1"/>
  <c r="Y439" i="1" s="1"/>
  <c r="AB439" i="1" s="1"/>
  <c r="K439" i="1"/>
  <c r="X439" i="1" s="1"/>
  <c r="I439" i="1"/>
  <c r="L439" i="1" s="1"/>
  <c r="X438" i="1"/>
  <c r="Y438" i="1" s="1"/>
  <c r="W438" i="1"/>
  <c r="K438" i="1"/>
  <c r="I438" i="1"/>
  <c r="L438" i="1" s="1"/>
  <c r="U438" i="1" s="1"/>
  <c r="X437" i="1"/>
  <c r="K437" i="1"/>
  <c r="I437" i="1"/>
  <c r="W436" i="1"/>
  <c r="Y436" i="1" s="1"/>
  <c r="K436" i="1"/>
  <c r="X436" i="1" s="1"/>
  <c r="I436" i="1"/>
  <c r="L436" i="1" s="1"/>
  <c r="U436" i="1" s="1"/>
  <c r="K435" i="1"/>
  <c r="X435" i="1" s="1"/>
  <c r="I435" i="1"/>
  <c r="K434" i="1"/>
  <c r="I434" i="1"/>
  <c r="W434" i="1" s="1"/>
  <c r="X433" i="1"/>
  <c r="W433" i="1"/>
  <c r="Y433" i="1" s="1"/>
  <c r="L433" i="1"/>
  <c r="K433" i="1"/>
  <c r="I433" i="1"/>
  <c r="Y432" i="1"/>
  <c r="X432" i="1"/>
  <c r="W432" i="1"/>
  <c r="L432" i="1"/>
  <c r="U432" i="1" s="1"/>
  <c r="K432" i="1"/>
  <c r="I432" i="1"/>
  <c r="W431" i="1"/>
  <c r="Y431" i="1" s="1"/>
  <c r="K431" i="1"/>
  <c r="X431" i="1" s="1"/>
  <c r="I431" i="1"/>
  <c r="L431" i="1" s="1"/>
  <c r="X430" i="1"/>
  <c r="Y430" i="1" s="1"/>
  <c r="W430" i="1"/>
  <c r="K430" i="1"/>
  <c r="I430" i="1"/>
  <c r="L430" i="1" s="1"/>
  <c r="U430" i="1" s="1"/>
  <c r="X429" i="1"/>
  <c r="K429" i="1"/>
  <c r="I429" i="1"/>
  <c r="W428" i="1"/>
  <c r="K428" i="1"/>
  <c r="X428" i="1" s="1"/>
  <c r="I428" i="1"/>
  <c r="L428" i="1" s="1"/>
  <c r="K427" i="1"/>
  <c r="X427" i="1" s="1"/>
  <c r="I427" i="1"/>
  <c r="W427" i="1" s="1"/>
  <c r="Y427" i="1" s="1"/>
  <c r="Z427" i="1" s="1"/>
  <c r="K426" i="1"/>
  <c r="I426" i="1"/>
  <c r="W426" i="1" s="1"/>
  <c r="X425" i="1"/>
  <c r="W425" i="1"/>
  <c r="Y425" i="1" s="1"/>
  <c r="L425" i="1"/>
  <c r="K425" i="1"/>
  <c r="I425" i="1"/>
  <c r="X424" i="1"/>
  <c r="W424" i="1"/>
  <c r="Y424" i="1" s="1"/>
  <c r="L424" i="1"/>
  <c r="U424" i="1" s="1"/>
  <c r="K424" i="1"/>
  <c r="I424" i="1"/>
  <c r="W423" i="1"/>
  <c r="Y423" i="1" s="1"/>
  <c r="AB423" i="1" s="1"/>
  <c r="K423" i="1"/>
  <c r="X423" i="1" s="1"/>
  <c r="I423" i="1"/>
  <c r="L423" i="1" s="1"/>
  <c r="X422" i="1"/>
  <c r="Y422" i="1" s="1"/>
  <c r="W422" i="1"/>
  <c r="K422" i="1"/>
  <c r="I422" i="1"/>
  <c r="L422" i="1" s="1"/>
  <c r="U422" i="1" s="1"/>
  <c r="X421" i="1"/>
  <c r="K421" i="1"/>
  <c r="I421" i="1"/>
  <c r="K420" i="1"/>
  <c r="X420" i="1" s="1"/>
  <c r="I420" i="1"/>
  <c r="W420" i="1" s="1"/>
  <c r="Y420" i="1" s="1"/>
  <c r="W419" i="1"/>
  <c r="L419" i="1"/>
  <c r="K419" i="1"/>
  <c r="X419" i="1" s="1"/>
  <c r="I419" i="1"/>
  <c r="Y418" i="1"/>
  <c r="X418" i="1"/>
  <c r="W418" i="1"/>
  <c r="K418" i="1"/>
  <c r="I418" i="1"/>
  <c r="L418" i="1" s="1"/>
  <c r="X417" i="1"/>
  <c r="K417" i="1"/>
  <c r="I417" i="1"/>
  <c r="L416" i="1"/>
  <c r="U416" i="1" s="1"/>
  <c r="K416" i="1"/>
  <c r="X416" i="1" s="1"/>
  <c r="I416" i="1"/>
  <c r="W416" i="1" s="1"/>
  <c r="Y416" i="1" s="1"/>
  <c r="W415" i="1"/>
  <c r="L415" i="1"/>
  <c r="K415" i="1"/>
  <c r="X415" i="1" s="1"/>
  <c r="I415" i="1"/>
  <c r="Y414" i="1"/>
  <c r="X414" i="1"/>
  <c r="W414" i="1"/>
  <c r="K414" i="1"/>
  <c r="I414" i="1"/>
  <c r="L414" i="1" s="1"/>
  <c r="X413" i="1"/>
  <c r="K413" i="1"/>
  <c r="I413" i="1"/>
  <c r="K412" i="1"/>
  <c r="X412" i="1" s="1"/>
  <c r="I412" i="1"/>
  <c r="W411" i="1"/>
  <c r="Y411" i="1" s="1"/>
  <c r="L411" i="1"/>
  <c r="K411" i="1"/>
  <c r="X411" i="1" s="1"/>
  <c r="I411" i="1"/>
  <c r="X410" i="1"/>
  <c r="W410" i="1"/>
  <c r="Y410" i="1" s="1"/>
  <c r="K410" i="1"/>
  <c r="I410" i="1"/>
  <c r="L410" i="1" s="1"/>
  <c r="X409" i="1"/>
  <c r="K409" i="1"/>
  <c r="I409" i="1"/>
  <c r="W409" i="1" s="1"/>
  <c r="Y409" i="1" s="1"/>
  <c r="K408" i="1"/>
  <c r="X408" i="1" s="1"/>
  <c r="I408" i="1"/>
  <c r="L408" i="1" s="1"/>
  <c r="U408" i="1" s="1"/>
  <c r="W407" i="1"/>
  <c r="L407" i="1"/>
  <c r="K407" i="1"/>
  <c r="X407" i="1" s="1"/>
  <c r="I407" i="1"/>
  <c r="X406" i="1"/>
  <c r="K406" i="1"/>
  <c r="I406" i="1"/>
  <c r="L406" i="1" s="1"/>
  <c r="U406" i="1" s="1"/>
  <c r="AA405" i="1"/>
  <c r="Y405" i="1"/>
  <c r="X405" i="1"/>
  <c r="L405" i="1"/>
  <c r="U405" i="1" s="1"/>
  <c r="K405" i="1"/>
  <c r="I405" i="1"/>
  <c r="W405" i="1" s="1"/>
  <c r="W404" i="1"/>
  <c r="L404" i="1"/>
  <c r="K404" i="1"/>
  <c r="X404" i="1" s="1"/>
  <c r="I404" i="1"/>
  <c r="W403" i="1"/>
  <c r="Y403" i="1" s="1"/>
  <c r="L403" i="1"/>
  <c r="K403" i="1"/>
  <c r="X403" i="1" s="1"/>
  <c r="I403" i="1"/>
  <c r="AA402" i="1"/>
  <c r="Y402" i="1"/>
  <c r="X402" i="1"/>
  <c r="W402" i="1"/>
  <c r="K402" i="1"/>
  <c r="I402" i="1"/>
  <c r="L402" i="1" s="1"/>
  <c r="U402" i="1" s="1"/>
  <c r="Y401" i="1"/>
  <c r="X401" i="1"/>
  <c r="L401" i="1"/>
  <c r="U401" i="1" s="1"/>
  <c r="K401" i="1"/>
  <c r="I401" i="1"/>
  <c r="W401" i="1" s="1"/>
  <c r="K400" i="1"/>
  <c r="X400" i="1" s="1"/>
  <c r="I400" i="1"/>
  <c r="W399" i="1"/>
  <c r="L399" i="1"/>
  <c r="K399" i="1"/>
  <c r="X399" i="1" s="1"/>
  <c r="Y399" i="1" s="1"/>
  <c r="I399" i="1"/>
  <c r="X398" i="1"/>
  <c r="W398" i="1"/>
  <c r="Y398" i="1" s="1"/>
  <c r="K398" i="1"/>
  <c r="I398" i="1"/>
  <c r="L398" i="1" s="1"/>
  <c r="U398" i="1" s="1"/>
  <c r="X397" i="1"/>
  <c r="K397" i="1"/>
  <c r="I397" i="1"/>
  <c r="W397" i="1" s="1"/>
  <c r="Y397" i="1" s="1"/>
  <c r="W396" i="1"/>
  <c r="Y396" i="1" s="1"/>
  <c r="L396" i="1"/>
  <c r="U396" i="1" s="1"/>
  <c r="K396" i="1"/>
  <c r="X396" i="1" s="1"/>
  <c r="I396" i="1"/>
  <c r="W395" i="1"/>
  <c r="Y395" i="1" s="1"/>
  <c r="U395" i="1"/>
  <c r="L395" i="1"/>
  <c r="K395" i="1"/>
  <c r="X395" i="1" s="1"/>
  <c r="I395" i="1"/>
  <c r="X394" i="1"/>
  <c r="W394" i="1"/>
  <c r="Y394" i="1" s="1"/>
  <c r="K394" i="1"/>
  <c r="I394" i="1"/>
  <c r="L394" i="1" s="1"/>
  <c r="U394" i="1" s="1"/>
  <c r="X393" i="1"/>
  <c r="K393" i="1"/>
  <c r="I393" i="1"/>
  <c r="W393" i="1" s="1"/>
  <c r="Y393" i="1" s="1"/>
  <c r="W392" i="1"/>
  <c r="Y392" i="1" s="1"/>
  <c r="Z392" i="1" s="1"/>
  <c r="K392" i="1"/>
  <c r="X392" i="1" s="1"/>
  <c r="I392" i="1"/>
  <c r="L392" i="1" s="1"/>
  <c r="Y391" i="1"/>
  <c r="W391" i="1"/>
  <c r="L391" i="1"/>
  <c r="K391" i="1"/>
  <c r="X391" i="1" s="1"/>
  <c r="I391" i="1"/>
  <c r="X390" i="1"/>
  <c r="W390" i="1"/>
  <c r="Y390" i="1" s="1"/>
  <c r="K390" i="1"/>
  <c r="I390" i="1"/>
  <c r="L390" i="1" s="1"/>
  <c r="U390" i="1" s="1"/>
  <c r="X389" i="1"/>
  <c r="L389" i="1"/>
  <c r="K389" i="1"/>
  <c r="I389" i="1"/>
  <c r="W389" i="1" s="1"/>
  <c r="Y389" i="1" s="1"/>
  <c r="K388" i="1"/>
  <c r="X388" i="1" s="1"/>
  <c r="I388" i="1"/>
  <c r="Y387" i="1"/>
  <c r="W387" i="1"/>
  <c r="L387" i="1"/>
  <c r="K387" i="1"/>
  <c r="X387" i="1" s="1"/>
  <c r="I387" i="1"/>
  <c r="X386" i="1"/>
  <c r="K386" i="1"/>
  <c r="I386" i="1"/>
  <c r="L386" i="1" s="1"/>
  <c r="U386" i="1" s="1"/>
  <c r="Y385" i="1"/>
  <c r="AB385" i="1" s="1"/>
  <c r="X385" i="1"/>
  <c r="L385" i="1"/>
  <c r="U385" i="1" s="1"/>
  <c r="K385" i="1"/>
  <c r="I385" i="1"/>
  <c r="W385" i="1" s="1"/>
  <c r="K384" i="1"/>
  <c r="X384" i="1" s="1"/>
  <c r="I384" i="1"/>
  <c r="W384" i="1" s="1"/>
  <c r="Y384" i="1" s="1"/>
  <c r="W383" i="1"/>
  <c r="Y383" i="1" s="1"/>
  <c r="U383" i="1"/>
  <c r="L383" i="1"/>
  <c r="K383" i="1"/>
  <c r="X383" i="1" s="1"/>
  <c r="I383" i="1"/>
  <c r="AA382" i="1"/>
  <c r="Y382" i="1"/>
  <c r="X382" i="1"/>
  <c r="W382" i="1"/>
  <c r="K382" i="1"/>
  <c r="I382" i="1"/>
  <c r="L382" i="1" s="1"/>
  <c r="U382" i="1" s="1"/>
  <c r="Y381" i="1"/>
  <c r="X381" i="1"/>
  <c r="K381" i="1"/>
  <c r="I381" i="1"/>
  <c r="W381" i="1" s="1"/>
  <c r="W380" i="1"/>
  <c r="Y380" i="1" s="1"/>
  <c r="L380" i="1"/>
  <c r="U380" i="1" s="1"/>
  <c r="K380" i="1"/>
  <c r="X380" i="1" s="1"/>
  <c r="I380" i="1"/>
  <c r="W379" i="1"/>
  <c r="Y379" i="1" s="1"/>
  <c r="L379" i="1"/>
  <c r="K379" i="1"/>
  <c r="X379" i="1" s="1"/>
  <c r="I379" i="1"/>
  <c r="X378" i="1"/>
  <c r="K378" i="1"/>
  <c r="I378" i="1"/>
  <c r="L378" i="1" s="1"/>
  <c r="X377" i="1"/>
  <c r="K377" i="1"/>
  <c r="I377" i="1"/>
  <c r="AB376" i="1"/>
  <c r="W376" i="1"/>
  <c r="Y376" i="1" s="1"/>
  <c r="Z376" i="1" s="1"/>
  <c r="K376" i="1"/>
  <c r="X376" i="1" s="1"/>
  <c r="I376" i="1"/>
  <c r="L376" i="1" s="1"/>
  <c r="AB375" i="1"/>
  <c r="Y375" i="1"/>
  <c r="Z375" i="1" s="1"/>
  <c r="W375" i="1"/>
  <c r="L375" i="1"/>
  <c r="K375" i="1"/>
  <c r="X375" i="1" s="1"/>
  <c r="I375" i="1"/>
  <c r="X374" i="1"/>
  <c r="Y374" i="1" s="1"/>
  <c r="W374" i="1"/>
  <c r="U374" i="1"/>
  <c r="K374" i="1"/>
  <c r="I374" i="1"/>
  <c r="L374" i="1" s="1"/>
  <c r="Y373" i="1"/>
  <c r="X373" i="1"/>
  <c r="K373" i="1"/>
  <c r="I373" i="1"/>
  <c r="W373" i="1" s="1"/>
  <c r="W372" i="1"/>
  <c r="Y372" i="1" s="1"/>
  <c r="L372" i="1"/>
  <c r="K372" i="1"/>
  <c r="X372" i="1" s="1"/>
  <c r="I372" i="1"/>
  <c r="W371" i="1"/>
  <c r="Y371" i="1" s="1"/>
  <c r="K371" i="1"/>
  <c r="X371" i="1" s="1"/>
  <c r="I371" i="1"/>
  <c r="X370" i="1"/>
  <c r="K370" i="1"/>
  <c r="I370" i="1"/>
  <c r="X369" i="1"/>
  <c r="K369" i="1"/>
  <c r="I369" i="1"/>
  <c r="K368" i="1"/>
  <c r="X368" i="1" s="1"/>
  <c r="I368" i="1"/>
  <c r="W367" i="1"/>
  <c r="K367" i="1"/>
  <c r="I367" i="1"/>
  <c r="K366" i="1"/>
  <c r="X366" i="1" s="1"/>
  <c r="I366" i="1"/>
  <c r="X365" i="1"/>
  <c r="K365" i="1"/>
  <c r="I365" i="1"/>
  <c r="K364" i="1"/>
  <c r="X364" i="1" s="1"/>
  <c r="I364" i="1"/>
  <c r="W363" i="1"/>
  <c r="K363" i="1"/>
  <c r="I363" i="1"/>
  <c r="K362" i="1"/>
  <c r="X362" i="1" s="1"/>
  <c r="I362" i="1"/>
  <c r="X361" i="1"/>
  <c r="K361" i="1"/>
  <c r="I361" i="1"/>
  <c r="K360" i="1"/>
  <c r="X360" i="1" s="1"/>
  <c r="I360" i="1"/>
  <c r="W359" i="1"/>
  <c r="K359" i="1"/>
  <c r="I359" i="1"/>
  <c r="K358" i="1"/>
  <c r="X358" i="1" s="1"/>
  <c r="I358" i="1"/>
  <c r="X357" i="1"/>
  <c r="K357" i="1"/>
  <c r="I357" i="1"/>
  <c r="Z356" i="1"/>
  <c r="L356" i="1"/>
  <c r="K356" i="1"/>
  <c r="X356" i="1" s="1"/>
  <c r="I356" i="1"/>
  <c r="W356" i="1" s="1"/>
  <c r="Y356" i="1" s="1"/>
  <c r="AB356" i="1" s="1"/>
  <c r="W355" i="1"/>
  <c r="U355" i="1"/>
  <c r="L355" i="1"/>
  <c r="K355" i="1"/>
  <c r="X355" i="1" s="1"/>
  <c r="I355" i="1"/>
  <c r="X354" i="1"/>
  <c r="W354" i="1"/>
  <c r="Y354" i="1" s="1"/>
  <c r="Z354" i="1" s="1"/>
  <c r="K354" i="1"/>
  <c r="I354" i="1"/>
  <c r="L354" i="1" s="1"/>
  <c r="X353" i="1"/>
  <c r="Y353" i="1" s="1"/>
  <c r="K353" i="1"/>
  <c r="L353" i="1" s="1"/>
  <c r="I353" i="1"/>
  <c r="W353" i="1" s="1"/>
  <c r="X352" i="1"/>
  <c r="W352" i="1"/>
  <c r="L352" i="1"/>
  <c r="K352" i="1"/>
  <c r="I352" i="1"/>
  <c r="Z351" i="1"/>
  <c r="Y351" i="1"/>
  <c r="AB351" i="1" s="1"/>
  <c r="X351" i="1"/>
  <c r="W351" i="1"/>
  <c r="K351" i="1"/>
  <c r="L351" i="1" s="1"/>
  <c r="AA351" i="1" s="1"/>
  <c r="I351" i="1"/>
  <c r="X350" i="1"/>
  <c r="K350" i="1"/>
  <c r="I350" i="1"/>
  <c r="K349" i="1"/>
  <c r="X349" i="1" s="1"/>
  <c r="I349" i="1"/>
  <c r="K348" i="1"/>
  <c r="X348" i="1" s="1"/>
  <c r="I348" i="1"/>
  <c r="W348" i="1" s="1"/>
  <c r="Y348" i="1" s="1"/>
  <c r="AB348" i="1" s="1"/>
  <c r="W347" i="1"/>
  <c r="L347" i="1"/>
  <c r="K347" i="1"/>
  <c r="X347" i="1" s="1"/>
  <c r="I347" i="1"/>
  <c r="X346" i="1"/>
  <c r="K346" i="1"/>
  <c r="I346" i="1"/>
  <c r="L346" i="1" s="1"/>
  <c r="Y345" i="1"/>
  <c r="X345" i="1"/>
  <c r="K345" i="1"/>
  <c r="L345" i="1" s="1"/>
  <c r="I345" i="1"/>
  <c r="W345" i="1" s="1"/>
  <c r="X344" i="1"/>
  <c r="W344" i="1"/>
  <c r="L344" i="1"/>
  <c r="K344" i="1"/>
  <c r="I344" i="1"/>
  <c r="Y343" i="1"/>
  <c r="AB343" i="1" s="1"/>
  <c r="X343" i="1"/>
  <c r="W343" i="1"/>
  <c r="U343" i="1"/>
  <c r="K343" i="1"/>
  <c r="L343" i="1" s="1"/>
  <c r="AA343" i="1" s="1"/>
  <c r="I343" i="1"/>
  <c r="X342" i="1"/>
  <c r="K342" i="1"/>
  <c r="I342" i="1"/>
  <c r="K341" i="1"/>
  <c r="X341" i="1" s="1"/>
  <c r="I341" i="1"/>
  <c r="K340" i="1"/>
  <c r="X340" i="1" s="1"/>
  <c r="I340" i="1"/>
  <c r="W340" i="1" s="1"/>
  <c r="Z339" i="1"/>
  <c r="W339" i="1"/>
  <c r="Y339" i="1" s="1"/>
  <c r="AB339" i="1" s="1"/>
  <c r="U339" i="1"/>
  <c r="L339" i="1"/>
  <c r="AA339" i="1" s="1"/>
  <c r="K339" i="1"/>
  <c r="X339" i="1" s="1"/>
  <c r="I339" i="1"/>
  <c r="X338" i="1"/>
  <c r="K338" i="1"/>
  <c r="I338" i="1"/>
  <c r="K337" i="1"/>
  <c r="L337" i="1" s="1"/>
  <c r="I337" i="1"/>
  <c r="W337" i="1" s="1"/>
  <c r="X336" i="1"/>
  <c r="W336" i="1"/>
  <c r="L336" i="1"/>
  <c r="K336" i="1"/>
  <c r="I336" i="1"/>
  <c r="Y335" i="1"/>
  <c r="AB335" i="1" s="1"/>
  <c r="X335" i="1"/>
  <c r="W335" i="1"/>
  <c r="K335" i="1"/>
  <c r="L335" i="1" s="1"/>
  <c r="I335" i="1"/>
  <c r="X334" i="1"/>
  <c r="K334" i="1"/>
  <c r="I334" i="1"/>
  <c r="K333" i="1"/>
  <c r="X333" i="1" s="1"/>
  <c r="I333" i="1"/>
  <c r="L332" i="1"/>
  <c r="K332" i="1"/>
  <c r="X332" i="1" s="1"/>
  <c r="I332" i="1"/>
  <c r="W332" i="1" s="1"/>
  <c r="Y332" i="1" s="1"/>
  <c r="AB332" i="1" s="1"/>
  <c r="W331" i="1"/>
  <c r="Y331" i="1" s="1"/>
  <c r="U331" i="1"/>
  <c r="L331" i="1"/>
  <c r="K331" i="1"/>
  <c r="X331" i="1" s="1"/>
  <c r="I331" i="1"/>
  <c r="X330" i="1"/>
  <c r="K330" i="1"/>
  <c r="I330" i="1"/>
  <c r="L330" i="1" s="1"/>
  <c r="X329" i="1"/>
  <c r="Y329" i="1" s="1"/>
  <c r="W329" i="1"/>
  <c r="L329" i="1"/>
  <c r="K329" i="1"/>
  <c r="I329" i="1"/>
  <c r="K328" i="1"/>
  <c r="X328" i="1" s="1"/>
  <c r="I328" i="1"/>
  <c r="L328" i="1" s="1"/>
  <c r="U328" i="1" s="1"/>
  <c r="L327" i="1"/>
  <c r="K327" i="1"/>
  <c r="X327" i="1" s="1"/>
  <c r="Y327" i="1" s="1"/>
  <c r="I327" i="1"/>
  <c r="W327" i="1" s="1"/>
  <c r="X326" i="1"/>
  <c r="K326" i="1"/>
  <c r="I326" i="1"/>
  <c r="W326" i="1" s="1"/>
  <c r="Y326" i="1" s="1"/>
  <c r="X325" i="1"/>
  <c r="W325" i="1"/>
  <c r="Y325" i="1" s="1"/>
  <c r="L325" i="1"/>
  <c r="K325" i="1"/>
  <c r="I325" i="1"/>
  <c r="W324" i="1"/>
  <c r="Y324" i="1" s="1"/>
  <c r="K324" i="1"/>
  <c r="X324" i="1" s="1"/>
  <c r="I324" i="1"/>
  <c r="Y323" i="1"/>
  <c r="K323" i="1"/>
  <c r="X323" i="1" s="1"/>
  <c r="I323" i="1"/>
  <c r="W323" i="1" s="1"/>
  <c r="X322" i="1"/>
  <c r="U322" i="1"/>
  <c r="L322" i="1"/>
  <c r="K322" i="1"/>
  <c r="I322" i="1"/>
  <c r="W322" i="1" s="1"/>
  <c r="Y322" i="1" s="1"/>
  <c r="X321" i="1"/>
  <c r="W321" i="1"/>
  <c r="Y321" i="1" s="1"/>
  <c r="L321" i="1"/>
  <c r="K321" i="1"/>
  <c r="I321" i="1"/>
  <c r="K320" i="1"/>
  <c r="X320" i="1" s="1"/>
  <c r="I320" i="1"/>
  <c r="W320" i="1" s="1"/>
  <c r="K319" i="1"/>
  <c r="X319" i="1" s="1"/>
  <c r="I319" i="1"/>
  <c r="X318" i="1"/>
  <c r="K318" i="1"/>
  <c r="I318" i="1"/>
  <c r="W318" i="1" s="1"/>
  <c r="Y318" i="1" s="1"/>
  <c r="Z317" i="1"/>
  <c r="Y317" i="1"/>
  <c r="AB317" i="1" s="1"/>
  <c r="X317" i="1"/>
  <c r="W317" i="1"/>
  <c r="U317" i="1"/>
  <c r="L317" i="1"/>
  <c r="K317" i="1"/>
  <c r="I317" i="1"/>
  <c r="X316" i="1"/>
  <c r="K316" i="1"/>
  <c r="I316" i="1"/>
  <c r="K315" i="1"/>
  <c r="X315" i="1" s="1"/>
  <c r="I315" i="1"/>
  <c r="W315" i="1" s="1"/>
  <c r="Y315" i="1" s="1"/>
  <c r="K314" i="1"/>
  <c r="X314" i="1" s="1"/>
  <c r="I314" i="1"/>
  <c r="W314" i="1" s="1"/>
  <c r="Y314" i="1" s="1"/>
  <c r="Z314" i="1" s="1"/>
  <c r="X313" i="1"/>
  <c r="K313" i="1"/>
  <c r="I313" i="1"/>
  <c r="W312" i="1"/>
  <c r="L312" i="1"/>
  <c r="K312" i="1"/>
  <c r="X312" i="1" s="1"/>
  <c r="Y312" i="1" s="1"/>
  <c r="I312" i="1"/>
  <c r="X311" i="1"/>
  <c r="W311" i="1"/>
  <c r="Y311" i="1" s="1"/>
  <c r="K311" i="1"/>
  <c r="I311" i="1"/>
  <c r="L311" i="1" s="1"/>
  <c r="Y310" i="1"/>
  <c r="X310" i="1"/>
  <c r="L310" i="1"/>
  <c r="U310" i="1" s="1"/>
  <c r="K310" i="1"/>
  <c r="I310" i="1"/>
  <c r="W310" i="1" s="1"/>
  <c r="K309" i="1"/>
  <c r="X309" i="1" s="1"/>
  <c r="I309" i="1"/>
  <c r="W308" i="1"/>
  <c r="L308" i="1"/>
  <c r="K308" i="1"/>
  <c r="X308" i="1" s="1"/>
  <c r="Y308" i="1" s="1"/>
  <c r="I308" i="1"/>
  <c r="X307" i="1"/>
  <c r="W307" i="1"/>
  <c r="Y307" i="1" s="1"/>
  <c r="K307" i="1"/>
  <c r="I307" i="1"/>
  <c r="L307" i="1" s="1"/>
  <c r="Y306" i="1"/>
  <c r="X306" i="1"/>
  <c r="L306" i="1"/>
  <c r="U306" i="1" s="1"/>
  <c r="K306" i="1"/>
  <c r="I306" i="1"/>
  <c r="W306" i="1" s="1"/>
  <c r="K305" i="1"/>
  <c r="X305" i="1" s="1"/>
  <c r="I305" i="1"/>
  <c r="W304" i="1"/>
  <c r="L304" i="1"/>
  <c r="K304" i="1"/>
  <c r="X304" i="1" s="1"/>
  <c r="Y304" i="1" s="1"/>
  <c r="I304" i="1"/>
  <c r="X303" i="1"/>
  <c r="W303" i="1"/>
  <c r="Y303" i="1" s="1"/>
  <c r="K303" i="1"/>
  <c r="I303" i="1"/>
  <c r="L303" i="1" s="1"/>
  <c r="Y302" i="1"/>
  <c r="X302" i="1"/>
  <c r="L302" i="1"/>
  <c r="U302" i="1" s="1"/>
  <c r="K302" i="1"/>
  <c r="I302" i="1"/>
  <c r="W302" i="1" s="1"/>
  <c r="K301" i="1"/>
  <c r="X301" i="1" s="1"/>
  <c r="I301" i="1"/>
  <c r="W300" i="1"/>
  <c r="L300" i="1"/>
  <c r="K300" i="1"/>
  <c r="X300" i="1" s="1"/>
  <c r="Y300" i="1" s="1"/>
  <c r="I300" i="1"/>
  <c r="X299" i="1"/>
  <c r="W299" i="1"/>
  <c r="Y299" i="1" s="1"/>
  <c r="K299" i="1"/>
  <c r="I299" i="1"/>
  <c r="L299" i="1" s="1"/>
  <c r="X298" i="1"/>
  <c r="L298" i="1"/>
  <c r="U298" i="1" s="1"/>
  <c r="K298" i="1"/>
  <c r="I298" i="1"/>
  <c r="W298" i="1" s="1"/>
  <c r="Y298" i="1" s="1"/>
  <c r="K297" i="1"/>
  <c r="X297" i="1" s="1"/>
  <c r="I297" i="1"/>
  <c r="W296" i="1"/>
  <c r="L296" i="1"/>
  <c r="K296" i="1"/>
  <c r="X296" i="1" s="1"/>
  <c r="Y296" i="1" s="1"/>
  <c r="I296" i="1"/>
  <c r="X295" i="1"/>
  <c r="W295" i="1"/>
  <c r="Y295" i="1" s="1"/>
  <c r="K295" i="1"/>
  <c r="I295" i="1"/>
  <c r="L295" i="1" s="1"/>
  <c r="X294" i="1"/>
  <c r="L294" i="1"/>
  <c r="U294" i="1" s="1"/>
  <c r="K294" i="1"/>
  <c r="I294" i="1"/>
  <c r="W294" i="1" s="1"/>
  <c r="Y294" i="1" s="1"/>
  <c r="K293" i="1"/>
  <c r="X293" i="1" s="1"/>
  <c r="I293" i="1"/>
  <c r="W292" i="1"/>
  <c r="L292" i="1"/>
  <c r="K292" i="1"/>
  <c r="X292" i="1" s="1"/>
  <c r="Y292" i="1" s="1"/>
  <c r="I292" i="1"/>
  <c r="X291" i="1"/>
  <c r="W291" i="1"/>
  <c r="Y291" i="1" s="1"/>
  <c r="K291" i="1"/>
  <c r="I291" i="1"/>
  <c r="L291" i="1" s="1"/>
  <c r="X290" i="1"/>
  <c r="L290" i="1"/>
  <c r="U290" i="1" s="1"/>
  <c r="K290" i="1"/>
  <c r="I290" i="1"/>
  <c r="W290" i="1" s="1"/>
  <c r="Y290" i="1" s="1"/>
  <c r="K289" i="1"/>
  <c r="X289" i="1" s="1"/>
  <c r="I289" i="1"/>
  <c r="W288" i="1"/>
  <c r="L288" i="1"/>
  <c r="K288" i="1"/>
  <c r="X288" i="1" s="1"/>
  <c r="Y288" i="1" s="1"/>
  <c r="I288" i="1"/>
  <c r="X287" i="1"/>
  <c r="W287" i="1"/>
  <c r="Y287" i="1" s="1"/>
  <c r="K287" i="1"/>
  <c r="I287" i="1"/>
  <c r="L287" i="1" s="1"/>
  <c r="X286" i="1"/>
  <c r="L286" i="1"/>
  <c r="U286" i="1" s="1"/>
  <c r="K286" i="1"/>
  <c r="I286" i="1"/>
  <c r="W286" i="1" s="1"/>
  <c r="Y286" i="1" s="1"/>
  <c r="K285" i="1"/>
  <c r="X285" i="1" s="1"/>
  <c r="I285" i="1"/>
  <c r="W284" i="1"/>
  <c r="L284" i="1"/>
  <c r="K284" i="1"/>
  <c r="X284" i="1" s="1"/>
  <c r="Y284" i="1" s="1"/>
  <c r="I284" i="1"/>
  <c r="X283" i="1"/>
  <c r="W283" i="1"/>
  <c r="Y283" i="1" s="1"/>
  <c r="K283" i="1"/>
  <c r="I283" i="1"/>
  <c r="L283" i="1" s="1"/>
  <c r="X282" i="1"/>
  <c r="L282" i="1"/>
  <c r="U282" i="1" s="1"/>
  <c r="K282" i="1"/>
  <c r="I282" i="1"/>
  <c r="W282" i="1" s="1"/>
  <c r="Y282" i="1" s="1"/>
  <c r="K281" i="1"/>
  <c r="X281" i="1" s="1"/>
  <c r="I281" i="1"/>
  <c r="W280" i="1"/>
  <c r="L280" i="1"/>
  <c r="K280" i="1"/>
  <c r="X280" i="1" s="1"/>
  <c r="Y280" i="1" s="1"/>
  <c r="I280" i="1"/>
  <c r="X279" i="1"/>
  <c r="W279" i="1"/>
  <c r="Y279" i="1" s="1"/>
  <c r="K279" i="1"/>
  <c r="I279" i="1"/>
  <c r="L279" i="1" s="1"/>
  <c r="X278" i="1"/>
  <c r="L278" i="1"/>
  <c r="U278" i="1" s="1"/>
  <c r="K278" i="1"/>
  <c r="I278" i="1"/>
  <c r="W278" i="1" s="1"/>
  <c r="Y278" i="1" s="1"/>
  <c r="K277" i="1"/>
  <c r="X277" i="1" s="1"/>
  <c r="I277" i="1"/>
  <c r="W276" i="1"/>
  <c r="L276" i="1"/>
  <c r="K276" i="1"/>
  <c r="X276" i="1" s="1"/>
  <c r="Y276" i="1" s="1"/>
  <c r="I276" i="1"/>
  <c r="X275" i="1"/>
  <c r="W275" i="1"/>
  <c r="Y275" i="1" s="1"/>
  <c r="K275" i="1"/>
  <c r="I275" i="1"/>
  <c r="L275" i="1" s="1"/>
  <c r="X274" i="1"/>
  <c r="L274" i="1"/>
  <c r="U274" i="1" s="1"/>
  <c r="K274" i="1"/>
  <c r="I274" i="1"/>
  <c r="W274" i="1" s="1"/>
  <c r="Y274" i="1" s="1"/>
  <c r="K273" i="1"/>
  <c r="X273" i="1" s="1"/>
  <c r="I273" i="1"/>
  <c r="W272" i="1"/>
  <c r="L272" i="1"/>
  <c r="K272" i="1"/>
  <c r="X272" i="1" s="1"/>
  <c r="Y272" i="1" s="1"/>
  <c r="I272" i="1"/>
  <c r="X271" i="1"/>
  <c r="W271" i="1"/>
  <c r="Y271" i="1" s="1"/>
  <c r="K271" i="1"/>
  <c r="I271" i="1"/>
  <c r="L271" i="1" s="1"/>
  <c r="X270" i="1"/>
  <c r="L270" i="1"/>
  <c r="U270" i="1" s="1"/>
  <c r="K270" i="1"/>
  <c r="I270" i="1"/>
  <c r="W270" i="1" s="1"/>
  <c r="Y270" i="1" s="1"/>
  <c r="K269" i="1"/>
  <c r="X269" i="1" s="1"/>
  <c r="I269" i="1"/>
  <c r="W268" i="1"/>
  <c r="L268" i="1"/>
  <c r="K268" i="1"/>
  <c r="X268" i="1" s="1"/>
  <c r="Y268" i="1" s="1"/>
  <c r="I268" i="1"/>
  <c r="X267" i="1"/>
  <c r="W267" i="1"/>
  <c r="Y267" i="1" s="1"/>
  <c r="K267" i="1"/>
  <c r="I267" i="1"/>
  <c r="L267" i="1" s="1"/>
  <c r="X266" i="1"/>
  <c r="L266" i="1"/>
  <c r="U266" i="1" s="1"/>
  <c r="K266" i="1"/>
  <c r="I266" i="1"/>
  <c r="W266" i="1" s="1"/>
  <c r="Y266" i="1" s="1"/>
  <c r="K265" i="1"/>
  <c r="X265" i="1" s="1"/>
  <c r="I265" i="1"/>
  <c r="W264" i="1"/>
  <c r="L264" i="1"/>
  <c r="K264" i="1"/>
  <c r="X264" i="1" s="1"/>
  <c r="Y264" i="1" s="1"/>
  <c r="I264" i="1"/>
  <c r="X263" i="1"/>
  <c r="W263" i="1"/>
  <c r="Y263" i="1" s="1"/>
  <c r="K263" i="1"/>
  <c r="I263" i="1"/>
  <c r="L263" i="1" s="1"/>
  <c r="X262" i="1"/>
  <c r="L262" i="1"/>
  <c r="U262" i="1" s="1"/>
  <c r="K262" i="1"/>
  <c r="I262" i="1"/>
  <c r="W262" i="1" s="1"/>
  <c r="Y262" i="1" s="1"/>
  <c r="W261" i="1"/>
  <c r="Y261" i="1" s="1"/>
  <c r="K261" i="1"/>
  <c r="X261" i="1" s="1"/>
  <c r="I261" i="1"/>
  <c r="L261" i="1" s="1"/>
  <c r="U261" i="1" s="1"/>
  <c r="Y260" i="1"/>
  <c r="W260" i="1"/>
  <c r="K260" i="1"/>
  <c r="X260" i="1" s="1"/>
  <c r="I260" i="1"/>
  <c r="X259" i="1"/>
  <c r="U259" i="1"/>
  <c r="K259" i="1"/>
  <c r="I259" i="1"/>
  <c r="L259" i="1" s="1"/>
  <c r="X258" i="1"/>
  <c r="Y258" i="1" s="1"/>
  <c r="L258" i="1"/>
  <c r="K258" i="1"/>
  <c r="I258" i="1"/>
  <c r="W258" i="1" s="1"/>
  <c r="K257" i="1"/>
  <c r="X257" i="1" s="1"/>
  <c r="I257" i="1"/>
  <c r="W256" i="1"/>
  <c r="K256" i="1"/>
  <c r="X256" i="1" s="1"/>
  <c r="Y256" i="1" s="1"/>
  <c r="I256" i="1"/>
  <c r="X255" i="1"/>
  <c r="K255" i="1"/>
  <c r="I255" i="1"/>
  <c r="Y254" i="1"/>
  <c r="X254" i="1"/>
  <c r="L254" i="1"/>
  <c r="K254" i="1"/>
  <c r="I254" i="1"/>
  <c r="W254" i="1" s="1"/>
  <c r="W253" i="1"/>
  <c r="Y253" i="1" s="1"/>
  <c r="K253" i="1"/>
  <c r="X253" i="1" s="1"/>
  <c r="I253" i="1"/>
  <c r="L253" i="1" s="1"/>
  <c r="U253" i="1" s="1"/>
  <c r="Y252" i="1"/>
  <c r="W252" i="1"/>
  <c r="L252" i="1"/>
  <c r="K252" i="1"/>
  <c r="X252" i="1" s="1"/>
  <c r="I252" i="1"/>
  <c r="X251" i="1"/>
  <c r="U251" i="1"/>
  <c r="K251" i="1"/>
  <c r="I251" i="1"/>
  <c r="L251" i="1" s="1"/>
  <c r="X250" i="1"/>
  <c r="L250" i="1"/>
  <c r="K250" i="1"/>
  <c r="I250" i="1"/>
  <c r="W250" i="1" s="1"/>
  <c r="Y250" i="1" s="1"/>
  <c r="K249" i="1"/>
  <c r="X249" i="1" s="1"/>
  <c r="I249" i="1"/>
  <c r="AB248" i="1"/>
  <c r="Y248" i="1"/>
  <c r="Z248" i="1" s="1"/>
  <c r="W248" i="1"/>
  <c r="L248" i="1"/>
  <c r="K248" i="1"/>
  <c r="X248" i="1" s="1"/>
  <c r="I248" i="1"/>
  <c r="X247" i="1"/>
  <c r="W247" i="1"/>
  <c r="Y247" i="1" s="1"/>
  <c r="K247" i="1"/>
  <c r="I247" i="1"/>
  <c r="L247" i="1" s="1"/>
  <c r="X246" i="1"/>
  <c r="L246" i="1"/>
  <c r="K246" i="1"/>
  <c r="I246" i="1"/>
  <c r="W246" i="1" s="1"/>
  <c r="Y246" i="1" s="1"/>
  <c r="W245" i="1"/>
  <c r="Y245" i="1" s="1"/>
  <c r="K245" i="1"/>
  <c r="X245" i="1" s="1"/>
  <c r="I245" i="1"/>
  <c r="L245" i="1" s="1"/>
  <c r="U245" i="1" s="1"/>
  <c r="Y244" i="1"/>
  <c r="W244" i="1"/>
  <c r="K244" i="1"/>
  <c r="X244" i="1" s="1"/>
  <c r="I244" i="1"/>
  <c r="X243" i="1"/>
  <c r="U243" i="1"/>
  <c r="K243" i="1"/>
  <c r="I243" i="1"/>
  <c r="L243" i="1" s="1"/>
  <c r="X242" i="1"/>
  <c r="Y242" i="1" s="1"/>
  <c r="L242" i="1"/>
  <c r="K242" i="1"/>
  <c r="I242" i="1"/>
  <c r="W242" i="1" s="1"/>
  <c r="K241" i="1"/>
  <c r="X241" i="1" s="1"/>
  <c r="I241" i="1"/>
  <c r="W240" i="1"/>
  <c r="L240" i="1"/>
  <c r="K240" i="1"/>
  <c r="X240" i="1" s="1"/>
  <c r="Y240" i="1" s="1"/>
  <c r="I240" i="1"/>
  <c r="X239" i="1"/>
  <c r="K239" i="1"/>
  <c r="I239" i="1"/>
  <c r="Y238" i="1"/>
  <c r="X238" i="1"/>
  <c r="L238" i="1"/>
  <c r="K238" i="1"/>
  <c r="I238" i="1"/>
  <c r="W238" i="1" s="1"/>
  <c r="W237" i="1"/>
  <c r="K237" i="1"/>
  <c r="X237" i="1" s="1"/>
  <c r="I237" i="1"/>
  <c r="L237" i="1" s="1"/>
  <c r="U237" i="1" s="1"/>
  <c r="Y236" i="1"/>
  <c r="W236" i="1"/>
  <c r="L236" i="1"/>
  <c r="K236" i="1"/>
  <c r="X236" i="1" s="1"/>
  <c r="I236" i="1"/>
  <c r="X235" i="1"/>
  <c r="U235" i="1"/>
  <c r="K235" i="1"/>
  <c r="I235" i="1"/>
  <c r="L235" i="1" s="1"/>
  <c r="X234" i="1"/>
  <c r="L234" i="1"/>
  <c r="K234" i="1"/>
  <c r="I234" i="1"/>
  <c r="W234" i="1" s="1"/>
  <c r="K233" i="1"/>
  <c r="X233" i="1" s="1"/>
  <c r="I233" i="1"/>
  <c r="W232" i="1"/>
  <c r="K232" i="1"/>
  <c r="X232" i="1" s="1"/>
  <c r="Y232" i="1" s="1"/>
  <c r="Z232" i="1" s="1"/>
  <c r="I232" i="1"/>
  <c r="X231" i="1"/>
  <c r="W231" i="1"/>
  <c r="U231" i="1"/>
  <c r="K231" i="1"/>
  <c r="I231" i="1"/>
  <c r="L231" i="1" s="1"/>
  <c r="X230" i="1"/>
  <c r="L230" i="1"/>
  <c r="K230" i="1"/>
  <c r="I230" i="1"/>
  <c r="W230" i="1" s="1"/>
  <c r="Y230" i="1" s="1"/>
  <c r="K229" i="1"/>
  <c r="X229" i="1" s="1"/>
  <c r="I229" i="1"/>
  <c r="W229" i="1" s="1"/>
  <c r="W228" i="1"/>
  <c r="K228" i="1"/>
  <c r="I228" i="1"/>
  <c r="X227" i="1"/>
  <c r="K227" i="1"/>
  <c r="I227" i="1"/>
  <c r="X226" i="1"/>
  <c r="Y226" i="1" s="1"/>
  <c r="L226" i="1"/>
  <c r="U226" i="1" s="1"/>
  <c r="K226" i="1"/>
  <c r="I226" i="1"/>
  <c r="W226" i="1" s="1"/>
  <c r="L225" i="1"/>
  <c r="U225" i="1" s="1"/>
  <c r="K225" i="1"/>
  <c r="X225" i="1" s="1"/>
  <c r="I225" i="1"/>
  <c r="W225" i="1" s="1"/>
  <c r="Y225" i="1" s="1"/>
  <c r="Z225" i="1" s="1"/>
  <c r="W224" i="1"/>
  <c r="K224" i="1"/>
  <c r="I224" i="1"/>
  <c r="X223" i="1"/>
  <c r="W223" i="1"/>
  <c r="Y223" i="1" s="1"/>
  <c r="K223" i="1"/>
  <c r="I223" i="1"/>
  <c r="L223" i="1" s="1"/>
  <c r="X222" i="1"/>
  <c r="L222" i="1"/>
  <c r="K222" i="1"/>
  <c r="I222" i="1"/>
  <c r="W222" i="1" s="1"/>
  <c r="L221" i="1"/>
  <c r="K221" i="1"/>
  <c r="X221" i="1" s="1"/>
  <c r="I221" i="1"/>
  <c r="W221" i="1" s="1"/>
  <c r="Y221" i="1" s="1"/>
  <c r="Z221" i="1" s="1"/>
  <c r="W220" i="1"/>
  <c r="K220" i="1"/>
  <c r="I220" i="1"/>
  <c r="X219" i="1"/>
  <c r="K219" i="1"/>
  <c r="I219" i="1"/>
  <c r="AA218" i="1"/>
  <c r="X218" i="1"/>
  <c r="Y218" i="1" s="1"/>
  <c r="L218" i="1"/>
  <c r="U218" i="1" s="1"/>
  <c r="K218" i="1"/>
  <c r="I218" i="1"/>
  <c r="W218" i="1" s="1"/>
  <c r="AB217" i="1"/>
  <c r="AA217" i="1"/>
  <c r="W217" i="1"/>
  <c r="Y217" i="1" s="1"/>
  <c r="Z217" i="1" s="1"/>
  <c r="L217" i="1"/>
  <c r="U217" i="1" s="1"/>
  <c r="K217" i="1"/>
  <c r="X217" i="1" s="1"/>
  <c r="I217" i="1"/>
  <c r="W216" i="1"/>
  <c r="K216" i="1"/>
  <c r="I216" i="1"/>
  <c r="X215" i="1"/>
  <c r="K215" i="1"/>
  <c r="I215" i="1"/>
  <c r="L215" i="1" s="1"/>
  <c r="X214" i="1"/>
  <c r="L214" i="1"/>
  <c r="K214" i="1"/>
  <c r="I214" i="1"/>
  <c r="W214" i="1" s="1"/>
  <c r="L213" i="1"/>
  <c r="K213" i="1"/>
  <c r="X213" i="1" s="1"/>
  <c r="I213" i="1"/>
  <c r="W213" i="1" s="1"/>
  <c r="Y213" i="1" s="1"/>
  <c r="Z213" i="1" s="1"/>
  <c r="W212" i="1"/>
  <c r="K212" i="1"/>
  <c r="I212" i="1"/>
  <c r="X211" i="1"/>
  <c r="K211" i="1"/>
  <c r="I211" i="1"/>
  <c r="X210" i="1"/>
  <c r="Y210" i="1" s="1"/>
  <c r="L210" i="1"/>
  <c r="U210" i="1" s="1"/>
  <c r="K210" i="1"/>
  <c r="I210" i="1"/>
  <c r="W210" i="1" s="1"/>
  <c r="AB209" i="1"/>
  <c r="W209" i="1"/>
  <c r="Y209" i="1" s="1"/>
  <c r="Z209" i="1" s="1"/>
  <c r="L209" i="1"/>
  <c r="U209" i="1" s="1"/>
  <c r="K209" i="1"/>
  <c r="X209" i="1" s="1"/>
  <c r="I209" i="1"/>
  <c r="W208" i="1"/>
  <c r="K208" i="1"/>
  <c r="I208" i="1"/>
  <c r="X207" i="1"/>
  <c r="W207" i="1"/>
  <c r="Y207" i="1" s="1"/>
  <c r="K207" i="1"/>
  <c r="I207" i="1"/>
  <c r="L207" i="1" s="1"/>
  <c r="X206" i="1"/>
  <c r="L206" i="1"/>
  <c r="K206" i="1"/>
  <c r="I206" i="1"/>
  <c r="W206" i="1" s="1"/>
  <c r="Y206" i="1" s="1"/>
  <c r="K205" i="1"/>
  <c r="I205" i="1"/>
  <c r="W205" i="1" s="1"/>
  <c r="W204" i="1"/>
  <c r="K204" i="1"/>
  <c r="I204" i="1"/>
  <c r="X203" i="1"/>
  <c r="K203" i="1"/>
  <c r="I203" i="1"/>
  <c r="X202" i="1"/>
  <c r="Y202" i="1" s="1"/>
  <c r="L202" i="1"/>
  <c r="U202" i="1" s="1"/>
  <c r="K202" i="1"/>
  <c r="I202" i="1"/>
  <c r="W202" i="1" s="1"/>
  <c r="AB201" i="1"/>
  <c r="AA201" i="1"/>
  <c r="W201" i="1"/>
  <c r="Y201" i="1" s="1"/>
  <c r="Z201" i="1" s="1"/>
  <c r="L201" i="1"/>
  <c r="U201" i="1" s="1"/>
  <c r="K201" i="1"/>
  <c r="X201" i="1" s="1"/>
  <c r="I201" i="1"/>
  <c r="W200" i="1"/>
  <c r="K200" i="1"/>
  <c r="I200" i="1"/>
  <c r="X199" i="1"/>
  <c r="K199" i="1"/>
  <c r="I199" i="1"/>
  <c r="L199" i="1" s="1"/>
  <c r="X198" i="1"/>
  <c r="L198" i="1"/>
  <c r="K198" i="1"/>
  <c r="I198" i="1"/>
  <c r="W198" i="1" s="1"/>
  <c r="Y198" i="1" s="1"/>
  <c r="AB197" i="1"/>
  <c r="K197" i="1"/>
  <c r="X197" i="1" s="1"/>
  <c r="I197" i="1"/>
  <c r="W197" i="1" s="1"/>
  <c r="Y197" i="1" s="1"/>
  <c r="Z197" i="1" s="1"/>
  <c r="W196" i="1"/>
  <c r="K196" i="1"/>
  <c r="I196" i="1"/>
  <c r="X195" i="1"/>
  <c r="K195" i="1"/>
  <c r="I195" i="1"/>
  <c r="AA194" i="1"/>
  <c r="X194" i="1"/>
  <c r="Y194" i="1" s="1"/>
  <c r="L194" i="1"/>
  <c r="U194" i="1" s="1"/>
  <c r="K194" i="1"/>
  <c r="I194" i="1"/>
  <c r="W194" i="1" s="1"/>
  <c r="AB193" i="1"/>
  <c r="W193" i="1"/>
  <c r="Y193" i="1" s="1"/>
  <c r="Z193" i="1" s="1"/>
  <c r="L193" i="1"/>
  <c r="U193" i="1" s="1"/>
  <c r="K193" i="1"/>
  <c r="X193" i="1" s="1"/>
  <c r="I193" i="1"/>
  <c r="W192" i="1"/>
  <c r="K192" i="1"/>
  <c r="I192" i="1"/>
  <c r="X191" i="1"/>
  <c r="W191" i="1"/>
  <c r="Y191" i="1" s="1"/>
  <c r="K191" i="1"/>
  <c r="I191" i="1"/>
  <c r="L191" i="1" s="1"/>
  <c r="X190" i="1"/>
  <c r="K190" i="1"/>
  <c r="I190" i="1"/>
  <c r="X189" i="1"/>
  <c r="W189" i="1"/>
  <c r="Y189" i="1" s="1"/>
  <c r="K189" i="1"/>
  <c r="I189" i="1"/>
  <c r="L189" i="1" s="1"/>
  <c r="W188" i="1"/>
  <c r="Y188" i="1" s="1"/>
  <c r="K188" i="1"/>
  <c r="X188" i="1" s="1"/>
  <c r="I188" i="1"/>
  <c r="X187" i="1"/>
  <c r="W187" i="1"/>
  <c r="Y187" i="1" s="1"/>
  <c r="K187" i="1"/>
  <c r="I187" i="1"/>
  <c r="L187" i="1" s="1"/>
  <c r="X186" i="1"/>
  <c r="K186" i="1"/>
  <c r="I186" i="1"/>
  <c r="X185" i="1"/>
  <c r="W185" i="1"/>
  <c r="Y185" i="1" s="1"/>
  <c r="K185" i="1"/>
  <c r="I185" i="1"/>
  <c r="L185" i="1" s="1"/>
  <c r="W184" i="1"/>
  <c r="Y184" i="1" s="1"/>
  <c r="K184" i="1"/>
  <c r="X184" i="1" s="1"/>
  <c r="I184" i="1"/>
  <c r="X183" i="1"/>
  <c r="W183" i="1"/>
  <c r="Y183" i="1" s="1"/>
  <c r="K183" i="1"/>
  <c r="I183" i="1"/>
  <c r="L183" i="1" s="1"/>
  <c r="X182" i="1"/>
  <c r="K182" i="1"/>
  <c r="I182" i="1"/>
  <c r="X181" i="1"/>
  <c r="W181" i="1"/>
  <c r="Y181" i="1" s="1"/>
  <c r="K181" i="1"/>
  <c r="I181" i="1"/>
  <c r="L181" i="1" s="1"/>
  <c r="W180" i="1"/>
  <c r="Y180" i="1" s="1"/>
  <c r="K180" i="1"/>
  <c r="X180" i="1" s="1"/>
  <c r="I180" i="1"/>
  <c r="X179" i="1"/>
  <c r="W179" i="1"/>
  <c r="Y179" i="1" s="1"/>
  <c r="K179" i="1"/>
  <c r="I179" i="1"/>
  <c r="L179" i="1" s="1"/>
  <c r="X178" i="1"/>
  <c r="K178" i="1"/>
  <c r="I178" i="1"/>
  <c r="X177" i="1"/>
  <c r="W177" i="1"/>
  <c r="Y177" i="1" s="1"/>
  <c r="K177" i="1"/>
  <c r="I177" i="1"/>
  <c r="L177" i="1" s="1"/>
  <c r="W176" i="1"/>
  <c r="Y176" i="1" s="1"/>
  <c r="K176" i="1"/>
  <c r="X176" i="1" s="1"/>
  <c r="I176" i="1"/>
  <c r="X175" i="1"/>
  <c r="W175" i="1"/>
  <c r="Y175" i="1" s="1"/>
  <c r="K175" i="1"/>
  <c r="I175" i="1"/>
  <c r="L175" i="1" s="1"/>
  <c r="X174" i="1"/>
  <c r="K174" i="1"/>
  <c r="I174" i="1"/>
  <c r="X173" i="1"/>
  <c r="W173" i="1"/>
  <c r="Y173" i="1" s="1"/>
  <c r="K173" i="1"/>
  <c r="I173" i="1"/>
  <c r="L173" i="1" s="1"/>
  <c r="W172" i="1"/>
  <c r="Y172" i="1" s="1"/>
  <c r="K172" i="1"/>
  <c r="X172" i="1" s="1"/>
  <c r="I172" i="1"/>
  <c r="X171" i="1"/>
  <c r="W171" i="1"/>
  <c r="Y171" i="1" s="1"/>
  <c r="K171" i="1"/>
  <c r="I171" i="1"/>
  <c r="L171" i="1" s="1"/>
  <c r="X170" i="1"/>
  <c r="K170" i="1"/>
  <c r="I170" i="1"/>
  <c r="X169" i="1"/>
  <c r="W169" i="1"/>
  <c r="Y169" i="1" s="1"/>
  <c r="K169" i="1"/>
  <c r="I169" i="1"/>
  <c r="L169" i="1" s="1"/>
  <c r="W168" i="1"/>
  <c r="K168" i="1"/>
  <c r="I168" i="1"/>
  <c r="W167" i="1"/>
  <c r="U167" i="1"/>
  <c r="K167" i="1"/>
  <c r="L167" i="1" s="1"/>
  <c r="I167" i="1"/>
  <c r="K166" i="1"/>
  <c r="X166" i="1" s="1"/>
  <c r="I166" i="1"/>
  <c r="Z165" i="1"/>
  <c r="X165" i="1"/>
  <c r="L165" i="1"/>
  <c r="K165" i="1"/>
  <c r="I165" i="1"/>
  <c r="W165" i="1" s="1"/>
  <c r="Y165" i="1" s="1"/>
  <c r="AB165" i="1" s="1"/>
  <c r="W164" i="1"/>
  <c r="K164" i="1"/>
  <c r="L164" i="1" s="1"/>
  <c r="I164" i="1"/>
  <c r="W163" i="1"/>
  <c r="U163" i="1"/>
  <c r="K163" i="1"/>
  <c r="L163" i="1" s="1"/>
  <c r="I163" i="1"/>
  <c r="X162" i="1"/>
  <c r="K162" i="1"/>
  <c r="I162" i="1"/>
  <c r="X161" i="1"/>
  <c r="U161" i="1"/>
  <c r="L161" i="1"/>
  <c r="K161" i="1"/>
  <c r="I161" i="1"/>
  <c r="W161" i="1" s="1"/>
  <c r="Y161" i="1" s="1"/>
  <c r="X160" i="1"/>
  <c r="W160" i="1"/>
  <c r="Y160" i="1" s="1"/>
  <c r="Z160" i="1" s="1"/>
  <c r="K160" i="1"/>
  <c r="L160" i="1" s="1"/>
  <c r="I160" i="1"/>
  <c r="W159" i="1"/>
  <c r="K159" i="1"/>
  <c r="L159" i="1" s="1"/>
  <c r="I159" i="1"/>
  <c r="K158" i="1"/>
  <c r="X158" i="1" s="1"/>
  <c r="I158" i="1"/>
  <c r="X157" i="1"/>
  <c r="U157" i="1"/>
  <c r="L157" i="1"/>
  <c r="K157" i="1"/>
  <c r="I157" i="1"/>
  <c r="W157" i="1" s="1"/>
  <c r="Y157" i="1" s="1"/>
  <c r="AB157" i="1" s="1"/>
  <c r="X156" i="1"/>
  <c r="W156" i="1"/>
  <c r="K156" i="1"/>
  <c r="L156" i="1" s="1"/>
  <c r="I156" i="1"/>
  <c r="W155" i="1"/>
  <c r="K155" i="1"/>
  <c r="L155" i="1" s="1"/>
  <c r="I155" i="1"/>
  <c r="X154" i="1"/>
  <c r="K154" i="1"/>
  <c r="I154" i="1"/>
  <c r="X153" i="1"/>
  <c r="K153" i="1"/>
  <c r="I153" i="1"/>
  <c r="W153" i="1" s="1"/>
  <c r="Y153" i="1" s="1"/>
  <c r="AB153" i="1" s="1"/>
  <c r="X152" i="1"/>
  <c r="W152" i="1"/>
  <c r="K152" i="1"/>
  <c r="L152" i="1" s="1"/>
  <c r="I152" i="1"/>
  <c r="W151" i="1"/>
  <c r="U151" i="1"/>
  <c r="K151" i="1"/>
  <c r="L151" i="1" s="1"/>
  <c r="I151" i="1"/>
  <c r="K150" i="1"/>
  <c r="X150" i="1" s="1"/>
  <c r="I150" i="1"/>
  <c r="X149" i="1"/>
  <c r="K149" i="1"/>
  <c r="I149" i="1"/>
  <c r="W149" i="1" s="1"/>
  <c r="Y149" i="1" s="1"/>
  <c r="AB149" i="1" s="1"/>
  <c r="AB148" i="1"/>
  <c r="X148" i="1"/>
  <c r="W148" i="1"/>
  <c r="Y148" i="1" s="1"/>
  <c r="Z148" i="1" s="1"/>
  <c r="L148" i="1"/>
  <c r="K148" i="1"/>
  <c r="I148" i="1"/>
  <c r="W147" i="1"/>
  <c r="K147" i="1"/>
  <c r="L147" i="1" s="1"/>
  <c r="I147" i="1"/>
  <c r="K146" i="1"/>
  <c r="X146" i="1" s="1"/>
  <c r="I146" i="1"/>
  <c r="X145" i="1"/>
  <c r="K145" i="1"/>
  <c r="I145" i="1"/>
  <c r="W144" i="1"/>
  <c r="K144" i="1"/>
  <c r="X144" i="1" s="1"/>
  <c r="I144" i="1"/>
  <c r="W143" i="1"/>
  <c r="K143" i="1"/>
  <c r="L143" i="1" s="1"/>
  <c r="I143" i="1"/>
  <c r="X142" i="1"/>
  <c r="K142" i="1"/>
  <c r="I142" i="1"/>
  <c r="X141" i="1"/>
  <c r="L141" i="1"/>
  <c r="AA141" i="1" s="1"/>
  <c r="K141" i="1"/>
  <c r="I141" i="1"/>
  <c r="W141" i="1" s="1"/>
  <c r="Y141" i="1" s="1"/>
  <c r="AB141" i="1" s="1"/>
  <c r="X140" i="1"/>
  <c r="W140" i="1"/>
  <c r="L140" i="1"/>
  <c r="K140" i="1"/>
  <c r="I140" i="1"/>
  <c r="W139" i="1"/>
  <c r="U139" i="1"/>
  <c r="K139" i="1"/>
  <c r="L139" i="1" s="1"/>
  <c r="I139" i="1"/>
  <c r="K138" i="1"/>
  <c r="X138" i="1" s="1"/>
  <c r="I138" i="1"/>
  <c r="Z137" i="1"/>
  <c r="X137" i="1"/>
  <c r="L137" i="1"/>
  <c r="K137" i="1"/>
  <c r="I137" i="1"/>
  <c r="W137" i="1" s="1"/>
  <c r="Y137" i="1" s="1"/>
  <c r="AB137" i="1" s="1"/>
  <c r="W136" i="1"/>
  <c r="K136" i="1"/>
  <c r="X136" i="1" s="1"/>
  <c r="I136" i="1"/>
  <c r="W135" i="1"/>
  <c r="K135" i="1"/>
  <c r="L135" i="1" s="1"/>
  <c r="I135" i="1"/>
  <c r="K134" i="1"/>
  <c r="X134" i="1" s="1"/>
  <c r="I134" i="1"/>
  <c r="X133" i="1"/>
  <c r="K133" i="1"/>
  <c r="I133" i="1"/>
  <c r="W133" i="1" s="1"/>
  <c r="Y133" i="1" s="1"/>
  <c r="AB133" i="1" s="1"/>
  <c r="W132" i="1"/>
  <c r="K132" i="1"/>
  <c r="I132" i="1"/>
  <c r="W131" i="1"/>
  <c r="U131" i="1"/>
  <c r="K131" i="1"/>
  <c r="L131" i="1" s="1"/>
  <c r="I131" i="1"/>
  <c r="X130" i="1"/>
  <c r="K130" i="1"/>
  <c r="I130" i="1"/>
  <c r="Z129" i="1"/>
  <c r="X129" i="1"/>
  <c r="L129" i="1"/>
  <c r="U129" i="1" s="1"/>
  <c r="K129" i="1"/>
  <c r="I129" i="1"/>
  <c r="W129" i="1" s="1"/>
  <c r="Y129" i="1" s="1"/>
  <c r="AB129" i="1" s="1"/>
  <c r="X128" i="1"/>
  <c r="W128" i="1"/>
  <c r="Y128" i="1" s="1"/>
  <c r="Z128" i="1" s="1"/>
  <c r="L128" i="1"/>
  <c r="K128" i="1"/>
  <c r="I128" i="1"/>
  <c r="W127" i="1"/>
  <c r="K127" i="1"/>
  <c r="L127" i="1" s="1"/>
  <c r="I127" i="1"/>
  <c r="K126" i="1"/>
  <c r="X126" i="1" s="1"/>
  <c r="I126" i="1"/>
  <c r="AA125" i="1"/>
  <c r="Z125" i="1"/>
  <c r="X125" i="1"/>
  <c r="L125" i="1"/>
  <c r="U125" i="1" s="1"/>
  <c r="K125" i="1"/>
  <c r="I125" i="1"/>
  <c r="W125" i="1" s="1"/>
  <c r="Y125" i="1" s="1"/>
  <c r="AB125" i="1" s="1"/>
  <c r="X124" i="1"/>
  <c r="W124" i="1"/>
  <c r="Y124" i="1" s="1"/>
  <c r="K124" i="1"/>
  <c r="L124" i="1" s="1"/>
  <c r="I124" i="1"/>
  <c r="W123" i="1"/>
  <c r="K123" i="1"/>
  <c r="L123" i="1" s="1"/>
  <c r="I123" i="1"/>
  <c r="X122" i="1"/>
  <c r="K122" i="1"/>
  <c r="I122" i="1"/>
  <c r="X121" i="1"/>
  <c r="K121" i="1"/>
  <c r="I121" i="1"/>
  <c r="W121" i="1" s="1"/>
  <c r="Y121" i="1" s="1"/>
  <c r="AB121" i="1" s="1"/>
  <c r="X120" i="1"/>
  <c r="W120" i="1"/>
  <c r="K120" i="1"/>
  <c r="L120" i="1" s="1"/>
  <c r="I120" i="1"/>
  <c r="W119" i="1"/>
  <c r="U119" i="1"/>
  <c r="K119" i="1"/>
  <c r="L119" i="1" s="1"/>
  <c r="I119" i="1"/>
  <c r="K118" i="1"/>
  <c r="X118" i="1" s="1"/>
  <c r="I118" i="1"/>
  <c r="X117" i="1"/>
  <c r="K117" i="1"/>
  <c r="I117" i="1"/>
  <c r="W117" i="1" s="1"/>
  <c r="Y117" i="1" s="1"/>
  <c r="AB117" i="1" s="1"/>
  <c r="AB116" i="1"/>
  <c r="X116" i="1"/>
  <c r="W116" i="1"/>
  <c r="Y116" i="1" s="1"/>
  <c r="Z116" i="1" s="1"/>
  <c r="L116" i="1"/>
  <c r="K116" i="1"/>
  <c r="I116" i="1"/>
  <c r="W115" i="1"/>
  <c r="K115" i="1"/>
  <c r="L115" i="1" s="1"/>
  <c r="I115" i="1"/>
  <c r="K114" i="1"/>
  <c r="X114" i="1" s="1"/>
  <c r="I114" i="1"/>
  <c r="X113" i="1"/>
  <c r="K113" i="1"/>
  <c r="I113" i="1"/>
  <c r="W112" i="1"/>
  <c r="K112" i="1"/>
  <c r="X112" i="1" s="1"/>
  <c r="I112" i="1"/>
  <c r="W111" i="1"/>
  <c r="K111" i="1"/>
  <c r="L111" i="1" s="1"/>
  <c r="I111" i="1"/>
  <c r="X110" i="1"/>
  <c r="K110" i="1"/>
  <c r="I110" i="1"/>
  <c r="X109" i="1"/>
  <c r="L109" i="1"/>
  <c r="AA109" i="1" s="1"/>
  <c r="K109" i="1"/>
  <c r="I109" i="1"/>
  <c r="W109" i="1" s="1"/>
  <c r="Y109" i="1" s="1"/>
  <c r="AB109" i="1" s="1"/>
  <c r="W108" i="1"/>
  <c r="K108" i="1"/>
  <c r="X108" i="1" s="1"/>
  <c r="I108" i="1"/>
  <c r="W107" i="1"/>
  <c r="K107" i="1"/>
  <c r="I107" i="1"/>
  <c r="X106" i="1"/>
  <c r="K106" i="1"/>
  <c r="I106" i="1"/>
  <c r="AA105" i="1"/>
  <c r="Z105" i="1"/>
  <c r="X105" i="1"/>
  <c r="L105" i="1"/>
  <c r="U105" i="1" s="1"/>
  <c r="K105" i="1"/>
  <c r="I105" i="1"/>
  <c r="W105" i="1" s="1"/>
  <c r="Y105" i="1" s="1"/>
  <c r="AB105" i="1" s="1"/>
  <c r="X104" i="1"/>
  <c r="W104" i="1"/>
  <c r="K104" i="1"/>
  <c r="L104" i="1" s="1"/>
  <c r="I104" i="1"/>
  <c r="W103" i="1"/>
  <c r="K103" i="1"/>
  <c r="I103" i="1"/>
  <c r="X102" i="1"/>
  <c r="K102" i="1"/>
  <c r="I102" i="1"/>
  <c r="X101" i="1"/>
  <c r="L101" i="1"/>
  <c r="K101" i="1"/>
  <c r="I101" i="1"/>
  <c r="W101" i="1" s="1"/>
  <c r="W100" i="1"/>
  <c r="K100" i="1"/>
  <c r="X100" i="1" s="1"/>
  <c r="I100" i="1"/>
  <c r="W99" i="1"/>
  <c r="K99" i="1"/>
  <c r="I99" i="1"/>
  <c r="X98" i="1"/>
  <c r="K98" i="1"/>
  <c r="I98" i="1"/>
  <c r="AA97" i="1"/>
  <c r="Z97" i="1"/>
  <c r="X97" i="1"/>
  <c r="L97" i="1"/>
  <c r="U97" i="1" s="1"/>
  <c r="K97" i="1"/>
  <c r="I97" i="1"/>
  <c r="W97" i="1" s="1"/>
  <c r="Y97" i="1" s="1"/>
  <c r="AB97" i="1" s="1"/>
  <c r="X96" i="1"/>
  <c r="W96" i="1"/>
  <c r="K96" i="1"/>
  <c r="L96" i="1" s="1"/>
  <c r="I96" i="1"/>
  <c r="W95" i="1"/>
  <c r="K95" i="1"/>
  <c r="I95" i="1"/>
  <c r="X94" i="1"/>
  <c r="K94" i="1"/>
  <c r="I94" i="1"/>
  <c r="X93" i="1"/>
  <c r="L93" i="1"/>
  <c r="K93" i="1"/>
  <c r="I93" i="1"/>
  <c r="W93" i="1" s="1"/>
  <c r="W92" i="1"/>
  <c r="K92" i="1"/>
  <c r="X92" i="1" s="1"/>
  <c r="I92" i="1"/>
  <c r="W91" i="1"/>
  <c r="K91" i="1"/>
  <c r="I91" i="1"/>
  <c r="X90" i="1"/>
  <c r="K90" i="1"/>
  <c r="I90" i="1"/>
  <c r="AA89" i="1"/>
  <c r="Z89" i="1"/>
  <c r="X89" i="1"/>
  <c r="L89" i="1"/>
  <c r="U89" i="1" s="1"/>
  <c r="K89" i="1"/>
  <c r="I89" i="1"/>
  <c r="W89" i="1" s="1"/>
  <c r="Y89" i="1" s="1"/>
  <c r="AB89" i="1" s="1"/>
  <c r="X88" i="1"/>
  <c r="W88" i="1"/>
  <c r="K88" i="1"/>
  <c r="L88" i="1" s="1"/>
  <c r="I88" i="1"/>
  <c r="W87" i="1"/>
  <c r="K87" i="1"/>
  <c r="I87" i="1"/>
  <c r="X86" i="1"/>
  <c r="K86" i="1"/>
  <c r="I86" i="1"/>
  <c r="X85" i="1"/>
  <c r="L85" i="1"/>
  <c r="K85" i="1"/>
  <c r="I85" i="1"/>
  <c r="W85" i="1" s="1"/>
  <c r="W84" i="1"/>
  <c r="K84" i="1"/>
  <c r="X84" i="1" s="1"/>
  <c r="I84" i="1"/>
  <c r="W83" i="1"/>
  <c r="K83" i="1"/>
  <c r="I83" i="1"/>
  <c r="X82" i="1"/>
  <c r="K82" i="1"/>
  <c r="I82" i="1"/>
  <c r="AA81" i="1"/>
  <c r="Z81" i="1"/>
  <c r="X81" i="1"/>
  <c r="L81" i="1"/>
  <c r="U81" i="1" s="1"/>
  <c r="K81" i="1"/>
  <c r="I81" i="1"/>
  <c r="W81" i="1" s="1"/>
  <c r="Y81" i="1" s="1"/>
  <c r="AB81" i="1" s="1"/>
  <c r="X80" i="1"/>
  <c r="W80" i="1"/>
  <c r="K80" i="1"/>
  <c r="L80" i="1" s="1"/>
  <c r="I80" i="1"/>
  <c r="W79" i="1"/>
  <c r="Y79" i="1" s="1"/>
  <c r="K79" i="1"/>
  <c r="X79" i="1" s="1"/>
  <c r="I79" i="1"/>
  <c r="X78" i="1"/>
  <c r="Y78" i="1" s="1"/>
  <c r="W78" i="1"/>
  <c r="K78" i="1"/>
  <c r="I78" i="1"/>
  <c r="X77" i="1"/>
  <c r="Y77" i="1" s="1"/>
  <c r="L77" i="1"/>
  <c r="U77" i="1" s="1"/>
  <c r="K77" i="1"/>
  <c r="I77" i="1"/>
  <c r="W77" i="1" s="1"/>
  <c r="X76" i="1"/>
  <c r="W76" i="1"/>
  <c r="K76" i="1"/>
  <c r="L76" i="1" s="1"/>
  <c r="I76" i="1"/>
  <c r="W75" i="1"/>
  <c r="Y75" i="1" s="1"/>
  <c r="K75" i="1"/>
  <c r="X75" i="1" s="1"/>
  <c r="I75" i="1"/>
  <c r="X74" i="1"/>
  <c r="Y74" i="1" s="1"/>
  <c r="W74" i="1"/>
  <c r="K74" i="1"/>
  <c r="I74" i="1"/>
  <c r="X73" i="1"/>
  <c r="Y73" i="1" s="1"/>
  <c r="L73" i="1"/>
  <c r="U73" i="1" s="1"/>
  <c r="K73" i="1"/>
  <c r="I73" i="1"/>
  <c r="W73" i="1" s="1"/>
  <c r="X72" i="1"/>
  <c r="W72" i="1"/>
  <c r="K72" i="1"/>
  <c r="L72" i="1" s="1"/>
  <c r="I72" i="1"/>
  <c r="W71" i="1"/>
  <c r="Y71" i="1" s="1"/>
  <c r="K71" i="1"/>
  <c r="X71" i="1" s="1"/>
  <c r="I71" i="1"/>
  <c r="X70" i="1"/>
  <c r="Y70" i="1" s="1"/>
  <c r="W70" i="1"/>
  <c r="K70" i="1"/>
  <c r="I70" i="1"/>
  <c r="X69" i="1"/>
  <c r="Y69" i="1" s="1"/>
  <c r="L69" i="1"/>
  <c r="U69" i="1" s="1"/>
  <c r="K69" i="1"/>
  <c r="I69" i="1"/>
  <c r="W69" i="1" s="1"/>
  <c r="X68" i="1"/>
  <c r="W68" i="1"/>
  <c r="K68" i="1"/>
  <c r="L68" i="1" s="1"/>
  <c r="I68" i="1"/>
  <c r="W67" i="1"/>
  <c r="Y67" i="1" s="1"/>
  <c r="K67" i="1"/>
  <c r="X67" i="1" s="1"/>
  <c r="I67" i="1"/>
  <c r="X66" i="1"/>
  <c r="Y66" i="1" s="1"/>
  <c r="W66" i="1"/>
  <c r="K66" i="1"/>
  <c r="I66" i="1"/>
  <c r="X65" i="1"/>
  <c r="Y65" i="1" s="1"/>
  <c r="L65" i="1"/>
  <c r="U65" i="1" s="1"/>
  <c r="K65" i="1"/>
  <c r="I65" i="1"/>
  <c r="W65" i="1" s="1"/>
  <c r="X64" i="1"/>
  <c r="W64" i="1"/>
  <c r="K64" i="1"/>
  <c r="L64" i="1" s="1"/>
  <c r="I64" i="1"/>
  <c r="W63" i="1"/>
  <c r="Y63" i="1" s="1"/>
  <c r="K63" i="1"/>
  <c r="X63" i="1" s="1"/>
  <c r="I63" i="1"/>
  <c r="X62" i="1"/>
  <c r="Y62" i="1" s="1"/>
  <c r="W62" i="1"/>
  <c r="K62" i="1"/>
  <c r="I62" i="1"/>
  <c r="X61" i="1"/>
  <c r="Y61" i="1" s="1"/>
  <c r="U61" i="1"/>
  <c r="L61" i="1"/>
  <c r="K61" i="1"/>
  <c r="I61" i="1"/>
  <c r="W61" i="1" s="1"/>
  <c r="W60" i="1"/>
  <c r="K60" i="1"/>
  <c r="L60" i="1" s="1"/>
  <c r="I60" i="1"/>
  <c r="W59" i="1"/>
  <c r="K59" i="1"/>
  <c r="I59" i="1"/>
  <c r="Y58" i="1"/>
  <c r="X58" i="1"/>
  <c r="W58" i="1"/>
  <c r="K58" i="1"/>
  <c r="I58" i="1"/>
  <c r="Z57" i="1"/>
  <c r="Y57" i="1"/>
  <c r="AB57" i="1" s="1"/>
  <c r="X57" i="1"/>
  <c r="L57" i="1"/>
  <c r="K57" i="1"/>
  <c r="I57" i="1"/>
  <c r="W57" i="1" s="1"/>
  <c r="W56" i="1"/>
  <c r="U56" i="1"/>
  <c r="K56" i="1"/>
  <c r="X56" i="1" s="1"/>
  <c r="I56" i="1"/>
  <c r="L56" i="1" s="1"/>
  <c r="Z55" i="1"/>
  <c r="X55" i="1"/>
  <c r="W55" i="1"/>
  <c r="Y55" i="1" s="1"/>
  <c r="AB55" i="1" s="1"/>
  <c r="L55" i="1"/>
  <c r="K55" i="1"/>
  <c r="I55" i="1"/>
  <c r="K54" i="1"/>
  <c r="X54" i="1" s="1"/>
  <c r="I54" i="1"/>
  <c r="K53" i="1"/>
  <c r="X53" i="1" s="1"/>
  <c r="I53" i="1"/>
  <c r="W53" i="1" s="1"/>
  <c r="AA52" i="1"/>
  <c r="X52" i="1"/>
  <c r="U52" i="1"/>
  <c r="L52" i="1"/>
  <c r="K52" i="1"/>
  <c r="I52" i="1"/>
  <c r="W52" i="1" s="1"/>
  <c r="Y52" i="1" s="1"/>
  <c r="AB51" i="1"/>
  <c r="X51" i="1"/>
  <c r="W51" i="1"/>
  <c r="Y51" i="1" s="1"/>
  <c r="Z51" i="1" s="1"/>
  <c r="K51" i="1"/>
  <c r="L51" i="1" s="1"/>
  <c r="I51" i="1"/>
  <c r="W50" i="1"/>
  <c r="U50" i="1"/>
  <c r="K50" i="1"/>
  <c r="X50" i="1" s="1"/>
  <c r="Y50" i="1" s="1"/>
  <c r="I50" i="1"/>
  <c r="L50" i="1" s="1"/>
  <c r="K49" i="1"/>
  <c r="X49" i="1" s="1"/>
  <c r="I49" i="1"/>
  <c r="Z48" i="1"/>
  <c r="X48" i="1"/>
  <c r="U48" i="1"/>
  <c r="L48" i="1"/>
  <c r="AA48" i="1" s="1"/>
  <c r="K48" i="1"/>
  <c r="I48" i="1"/>
  <c r="W48" i="1" s="1"/>
  <c r="Y48" i="1" s="1"/>
  <c r="AB48" i="1" s="1"/>
  <c r="W47" i="1"/>
  <c r="K47" i="1"/>
  <c r="X47" i="1" s="1"/>
  <c r="I47" i="1"/>
  <c r="W46" i="1"/>
  <c r="Y46" i="1" s="1"/>
  <c r="K46" i="1"/>
  <c r="X46" i="1" s="1"/>
  <c r="I46" i="1"/>
  <c r="L46" i="1" s="1"/>
  <c r="K45" i="1"/>
  <c r="X45" i="1" s="1"/>
  <c r="I45" i="1"/>
  <c r="Z44" i="1"/>
  <c r="X44" i="1"/>
  <c r="L44" i="1"/>
  <c r="AA44" i="1" s="1"/>
  <c r="K44" i="1"/>
  <c r="I44" i="1"/>
  <c r="W44" i="1" s="1"/>
  <c r="Y44" i="1" s="1"/>
  <c r="AB44" i="1" s="1"/>
  <c r="X43" i="1"/>
  <c r="W43" i="1"/>
  <c r="L43" i="1"/>
  <c r="K43" i="1"/>
  <c r="I43" i="1"/>
  <c r="W42" i="1"/>
  <c r="U42" i="1"/>
  <c r="K42" i="1"/>
  <c r="X42" i="1" s="1"/>
  <c r="Y42" i="1" s="1"/>
  <c r="I42" i="1"/>
  <c r="L42" i="1" s="1"/>
  <c r="X41" i="1"/>
  <c r="K41" i="1"/>
  <c r="I41" i="1"/>
  <c r="Z40" i="1"/>
  <c r="X40" i="1"/>
  <c r="K40" i="1"/>
  <c r="I40" i="1"/>
  <c r="W40" i="1" s="1"/>
  <c r="Y40" i="1" s="1"/>
  <c r="AB40" i="1" s="1"/>
  <c r="W39" i="1"/>
  <c r="K39" i="1"/>
  <c r="X39" i="1" s="1"/>
  <c r="I39" i="1"/>
  <c r="W38" i="1"/>
  <c r="Y38" i="1" s="1"/>
  <c r="U38" i="1"/>
  <c r="K38" i="1"/>
  <c r="X38" i="1" s="1"/>
  <c r="I38" i="1"/>
  <c r="L38" i="1" s="1"/>
  <c r="K37" i="1"/>
  <c r="X37" i="1" s="1"/>
  <c r="I37" i="1"/>
  <c r="X36" i="1"/>
  <c r="K36" i="1"/>
  <c r="I36" i="1"/>
  <c r="W36" i="1" s="1"/>
  <c r="Y36" i="1" s="1"/>
  <c r="AB36" i="1" s="1"/>
  <c r="X35" i="1"/>
  <c r="W35" i="1"/>
  <c r="L35" i="1"/>
  <c r="K35" i="1"/>
  <c r="I35" i="1"/>
  <c r="Y34" i="1"/>
  <c r="AB34" i="1" s="1"/>
  <c r="W34" i="1"/>
  <c r="K34" i="1"/>
  <c r="X34" i="1" s="1"/>
  <c r="I34" i="1"/>
  <c r="L34" i="1" s="1"/>
  <c r="AA34" i="1" s="1"/>
  <c r="X33" i="1"/>
  <c r="K33" i="1"/>
  <c r="I33" i="1"/>
  <c r="Z32" i="1"/>
  <c r="X32" i="1"/>
  <c r="K32" i="1"/>
  <c r="I32" i="1"/>
  <c r="W32" i="1" s="1"/>
  <c r="Y32" i="1" s="1"/>
  <c r="AB32" i="1" s="1"/>
  <c r="W31" i="1"/>
  <c r="K31" i="1"/>
  <c r="L31" i="1" s="1"/>
  <c r="I31" i="1"/>
  <c r="W30" i="1"/>
  <c r="U30" i="1"/>
  <c r="K30" i="1"/>
  <c r="X30" i="1" s="1"/>
  <c r="Y30" i="1" s="1"/>
  <c r="I30" i="1"/>
  <c r="L30" i="1" s="1"/>
  <c r="K29" i="1"/>
  <c r="X29" i="1" s="1"/>
  <c r="I29" i="1"/>
  <c r="AA28" i="1"/>
  <c r="X28" i="1"/>
  <c r="L28" i="1"/>
  <c r="U28" i="1" s="1"/>
  <c r="K28" i="1"/>
  <c r="I28" i="1"/>
  <c r="W28" i="1" s="1"/>
  <c r="Y28" i="1" s="1"/>
  <c r="AB28" i="1" s="1"/>
  <c r="X27" i="1"/>
  <c r="W27" i="1"/>
  <c r="K27" i="1"/>
  <c r="L27" i="1" s="1"/>
  <c r="I27" i="1"/>
  <c r="Y26" i="1"/>
  <c r="AB26" i="1" s="1"/>
  <c r="W26" i="1"/>
  <c r="U26" i="1"/>
  <c r="K26" i="1"/>
  <c r="X26" i="1" s="1"/>
  <c r="I26" i="1"/>
  <c r="L26" i="1" s="1"/>
  <c r="X25" i="1"/>
  <c r="K25" i="1"/>
  <c r="I25" i="1"/>
  <c r="X24" i="1"/>
  <c r="U24" i="1"/>
  <c r="L24" i="1"/>
  <c r="AA24" i="1" s="1"/>
  <c r="K24" i="1"/>
  <c r="I24" i="1"/>
  <c r="W24" i="1" s="1"/>
  <c r="Y24" i="1" s="1"/>
  <c r="AB24" i="1" s="1"/>
  <c r="W23" i="1"/>
  <c r="K23" i="1"/>
  <c r="X23" i="1" s="1"/>
  <c r="I23" i="1"/>
  <c r="W22" i="1"/>
  <c r="Y22" i="1" s="1"/>
  <c r="K22" i="1"/>
  <c r="X22" i="1" s="1"/>
  <c r="I22" i="1"/>
  <c r="L22" i="1" s="1"/>
  <c r="K21" i="1"/>
  <c r="X21" i="1" s="1"/>
  <c r="I21" i="1"/>
  <c r="X20" i="1"/>
  <c r="K20" i="1"/>
  <c r="I20" i="1"/>
  <c r="W20" i="1" s="1"/>
  <c r="Y20" i="1" s="1"/>
  <c r="AB20" i="1" s="1"/>
  <c r="W19" i="1"/>
  <c r="L19" i="1"/>
  <c r="K19" i="1"/>
  <c r="X19" i="1" s="1"/>
  <c r="I19" i="1"/>
  <c r="Y18" i="1"/>
  <c r="AB18" i="1" s="1"/>
  <c r="W18" i="1"/>
  <c r="K18" i="1"/>
  <c r="X18" i="1" s="1"/>
  <c r="I18" i="1"/>
  <c r="L18" i="1" s="1"/>
  <c r="U18" i="1" s="1"/>
  <c r="X17" i="1"/>
  <c r="K17" i="1"/>
  <c r="I17" i="1"/>
  <c r="Z16" i="1"/>
  <c r="X16" i="1"/>
  <c r="U16" i="1"/>
  <c r="L16" i="1"/>
  <c r="K16" i="1"/>
  <c r="I16" i="1"/>
  <c r="W16" i="1" s="1"/>
  <c r="Y16" i="1" s="1"/>
  <c r="AB16" i="1" s="1"/>
  <c r="W15" i="1"/>
  <c r="K15" i="1"/>
  <c r="X15" i="1" s="1"/>
  <c r="I15" i="1"/>
  <c r="W14" i="1"/>
  <c r="Y14" i="1" s="1"/>
  <c r="K14" i="1"/>
  <c r="X14" i="1" s="1"/>
  <c r="I14" i="1"/>
  <c r="L14" i="1" s="1"/>
  <c r="K13" i="1"/>
  <c r="X13" i="1" s="1"/>
  <c r="I13" i="1"/>
  <c r="Z12" i="1"/>
  <c r="X12" i="1"/>
  <c r="L12" i="1"/>
  <c r="U12" i="1" s="1"/>
  <c r="K12" i="1"/>
  <c r="I12" i="1"/>
  <c r="W12" i="1" s="1"/>
  <c r="Y12" i="1" s="1"/>
  <c r="AB12" i="1" s="1"/>
  <c r="X11" i="1"/>
  <c r="W11" i="1"/>
  <c r="L11" i="1"/>
  <c r="K11" i="1"/>
  <c r="I11" i="1"/>
  <c r="W10" i="1"/>
  <c r="K10" i="1"/>
  <c r="X10" i="1" s="1"/>
  <c r="Y10" i="1" s="1"/>
  <c r="I10" i="1"/>
  <c r="L10" i="1" s="1"/>
  <c r="X9" i="1"/>
  <c r="K9" i="1"/>
  <c r="I9" i="1"/>
  <c r="Z8" i="1"/>
  <c r="X8" i="1"/>
  <c r="K8" i="1"/>
  <c r="I8" i="1"/>
  <c r="W8" i="1" s="1"/>
  <c r="Y8" i="1" s="1"/>
  <c r="AB8" i="1" s="1"/>
  <c r="A8" i="1"/>
  <c r="X7" i="1"/>
  <c r="Y7" i="1" s="1"/>
  <c r="L7" i="1"/>
  <c r="K7" i="1"/>
  <c r="I7" i="1"/>
  <c r="W7" i="1" s="1"/>
  <c r="A7" i="1"/>
  <c r="K6" i="1"/>
  <c r="X6" i="1" s="1"/>
  <c r="I6" i="1"/>
  <c r="A6" i="1"/>
  <c r="U31" i="1" l="1"/>
  <c r="AB10" i="1"/>
  <c r="Z10" i="1"/>
  <c r="AB14" i="1"/>
  <c r="Z14" i="1"/>
  <c r="AB30" i="1"/>
  <c r="Z30" i="1"/>
  <c r="AB50" i="1"/>
  <c r="Z50" i="1"/>
  <c r="AB42" i="1"/>
  <c r="Z42" i="1"/>
  <c r="AB7" i="1"/>
  <c r="Z7" i="1"/>
  <c r="U27" i="1"/>
  <c r="AB38" i="1"/>
  <c r="Z38" i="1"/>
  <c r="AB22" i="1"/>
  <c r="Z22" i="1"/>
  <c r="AB46" i="1"/>
  <c r="Z46" i="1"/>
  <c r="AA7" i="1"/>
  <c r="U35" i="1"/>
  <c r="U60" i="1"/>
  <c r="AA60" i="1"/>
  <c r="Z74" i="1"/>
  <c r="AB74" i="1"/>
  <c r="W158" i="1"/>
  <c r="Y158" i="1" s="1"/>
  <c r="L158" i="1"/>
  <c r="L257" i="1"/>
  <c r="W257" i="1"/>
  <c r="Y257" i="1" s="1"/>
  <c r="U7" i="1"/>
  <c r="Z18" i="1"/>
  <c r="W29" i="1"/>
  <c r="Y29" i="1" s="1"/>
  <c r="L29" i="1"/>
  <c r="X31" i="1"/>
  <c r="Y31" i="1" s="1"/>
  <c r="Y35" i="1"/>
  <c r="AA35" i="1" s="1"/>
  <c r="Z36" i="1"/>
  <c r="AA38" i="1"/>
  <c r="L39" i="1"/>
  <c r="U44" i="1"/>
  <c r="U51" i="1"/>
  <c r="AA51" i="1"/>
  <c r="Z70" i="1"/>
  <c r="AB70" i="1"/>
  <c r="AB161" i="1"/>
  <c r="Z161" i="1"/>
  <c r="X224" i="1"/>
  <c r="L224" i="1"/>
  <c r="C19" i="2" s="1"/>
  <c r="Z252" i="1"/>
  <c r="AB252" i="1"/>
  <c r="AB254" i="1"/>
  <c r="Z254" i="1"/>
  <c r="AB278" i="1"/>
  <c r="Z278" i="1"/>
  <c r="AB294" i="1"/>
  <c r="Z294" i="1"/>
  <c r="W25" i="1"/>
  <c r="Y25" i="1" s="1"/>
  <c r="L25" i="1"/>
  <c r="U64" i="1"/>
  <c r="L20" i="1"/>
  <c r="W33" i="1"/>
  <c r="Y33" i="1" s="1"/>
  <c r="L33" i="1"/>
  <c r="C26" i="2" s="1"/>
  <c r="U34" i="1"/>
  <c r="Y39" i="1"/>
  <c r="AA42" i="1"/>
  <c r="U43" i="1"/>
  <c r="AA43" i="1"/>
  <c r="AA50" i="1"/>
  <c r="U57" i="1"/>
  <c r="AA57" i="1"/>
  <c r="Z58" i="1"/>
  <c r="AB58" i="1"/>
  <c r="X60" i="1"/>
  <c r="Z66" i="1"/>
  <c r="AB66" i="1"/>
  <c r="AB79" i="1"/>
  <c r="Z79" i="1"/>
  <c r="AA124" i="1"/>
  <c r="U124" i="1"/>
  <c r="AA128" i="1"/>
  <c r="U128" i="1"/>
  <c r="W145" i="1"/>
  <c r="Y145" i="1" s="1"/>
  <c r="L145" i="1"/>
  <c r="U152" i="1"/>
  <c r="X192" i="1"/>
  <c r="L192" i="1"/>
  <c r="X205" i="1"/>
  <c r="L205" i="1"/>
  <c r="Y224" i="1"/>
  <c r="AB230" i="1"/>
  <c r="Z230" i="1"/>
  <c r="U11" i="1"/>
  <c r="Y11" i="1"/>
  <c r="AA14" i="1"/>
  <c r="L15" i="1"/>
  <c r="Z26" i="1"/>
  <c r="W37" i="1"/>
  <c r="Y37" i="1" s="1"/>
  <c r="L37" i="1"/>
  <c r="Y43" i="1"/>
  <c r="AA46" i="1"/>
  <c r="L47" i="1"/>
  <c r="Y53" i="1"/>
  <c r="Z62" i="1"/>
  <c r="AB62" i="1"/>
  <c r="AB75" i="1"/>
  <c r="Z75" i="1"/>
  <c r="AB77" i="1"/>
  <c r="AA77" i="1"/>
  <c r="Z77" i="1"/>
  <c r="AA104" i="1"/>
  <c r="U104" i="1"/>
  <c r="Z124" i="1"/>
  <c r="AB124" i="1"/>
  <c r="X132" i="1"/>
  <c r="L132" i="1"/>
  <c r="W150" i="1"/>
  <c r="Y150" i="1" s="1"/>
  <c r="L150" i="1"/>
  <c r="AA165" i="1"/>
  <c r="U165" i="1"/>
  <c r="Y192" i="1"/>
  <c r="L203" i="1"/>
  <c r="W203" i="1"/>
  <c r="Y203" i="1" s="1"/>
  <c r="X220" i="1"/>
  <c r="Y220" i="1" s="1"/>
  <c r="L220" i="1"/>
  <c r="AB247" i="1"/>
  <c r="Z247" i="1"/>
  <c r="L249" i="1"/>
  <c r="W249" i="1"/>
  <c r="Y249" i="1" s="1"/>
  <c r="AB274" i="1"/>
  <c r="Z274" i="1"/>
  <c r="AB290" i="1"/>
  <c r="Z290" i="1"/>
  <c r="X59" i="1"/>
  <c r="Y59" i="1" s="1"/>
  <c r="L59" i="1"/>
  <c r="AB71" i="1"/>
  <c r="Z71" i="1"/>
  <c r="AB73" i="1"/>
  <c r="AA73" i="1"/>
  <c r="Z73" i="1"/>
  <c r="U80" i="1"/>
  <c r="U88" i="1"/>
  <c r="U96" i="1"/>
  <c r="W113" i="1"/>
  <c r="Y113" i="1" s="1"/>
  <c r="L113" i="1"/>
  <c r="U120" i="1"/>
  <c r="AA137" i="1"/>
  <c r="U137" i="1"/>
  <c r="W9" i="1"/>
  <c r="Y9" i="1" s="1"/>
  <c r="L9" i="1"/>
  <c r="Y15" i="1"/>
  <c r="W13" i="1"/>
  <c r="Y13" i="1" s="1"/>
  <c r="L13" i="1"/>
  <c r="U14" i="1"/>
  <c r="AA16" i="1"/>
  <c r="Y19" i="1"/>
  <c r="AA19" i="1" s="1"/>
  <c r="Z20" i="1"/>
  <c r="AA22" i="1"/>
  <c r="L23" i="1"/>
  <c r="L32" i="1"/>
  <c r="Z34" i="1"/>
  <c r="W45" i="1"/>
  <c r="Y45" i="1" s="1"/>
  <c r="L45" i="1"/>
  <c r="U46" i="1"/>
  <c r="W49" i="1"/>
  <c r="Y49" i="1" s="1"/>
  <c r="L49" i="1"/>
  <c r="AB52" i="1"/>
  <c r="Z52" i="1"/>
  <c r="L53" i="1"/>
  <c r="AB67" i="1"/>
  <c r="Z67" i="1"/>
  <c r="AB69" i="1"/>
  <c r="AA69" i="1"/>
  <c r="Z69" i="1"/>
  <c r="U76" i="1"/>
  <c r="W118" i="1"/>
  <c r="Y118" i="1" s="1"/>
  <c r="L118" i="1"/>
  <c r="U155" i="1"/>
  <c r="L239" i="1"/>
  <c r="W239" i="1"/>
  <c r="Y239" i="1" s="1"/>
  <c r="AB270" i="1"/>
  <c r="Z270" i="1"/>
  <c r="AB286" i="1"/>
  <c r="Z286" i="1"/>
  <c r="AA10" i="1"/>
  <c r="AA12" i="1"/>
  <c r="U19" i="1"/>
  <c r="Y47" i="1"/>
  <c r="W17" i="1"/>
  <c r="Y17" i="1" s="1"/>
  <c r="L17" i="1"/>
  <c r="Y23" i="1"/>
  <c r="Z24" i="1"/>
  <c r="AA26" i="1"/>
  <c r="L36" i="1"/>
  <c r="AB63" i="1"/>
  <c r="Z63" i="1"/>
  <c r="AB65" i="1"/>
  <c r="AA65" i="1"/>
  <c r="Z65" i="1"/>
  <c r="U72" i="1"/>
  <c r="L168" i="1"/>
  <c r="X168" i="1"/>
  <c r="Y168" i="1" s="1"/>
  <c r="AB210" i="1"/>
  <c r="Z210" i="1"/>
  <c r="AA210" i="1"/>
  <c r="U10" i="1"/>
  <c r="AA18" i="1"/>
  <c r="W41" i="1"/>
  <c r="Y41" i="1" s="1"/>
  <c r="L41" i="1"/>
  <c r="G22" i="2"/>
  <c r="G21" i="2"/>
  <c r="G20" i="2"/>
  <c r="G19" i="2"/>
  <c r="G18" i="2"/>
  <c r="K22" i="2"/>
  <c r="K21" i="2"/>
  <c r="K20" i="2"/>
  <c r="K19" i="2"/>
  <c r="K18" i="2"/>
  <c r="I22" i="2"/>
  <c r="I21" i="2"/>
  <c r="I20" i="2"/>
  <c r="I19" i="2"/>
  <c r="I18" i="2"/>
  <c r="H21" i="2"/>
  <c r="H19" i="2"/>
  <c r="J22" i="2"/>
  <c r="J20" i="2"/>
  <c r="H22" i="2"/>
  <c r="J18" i="2"/>
  <c r="H18" i="2"/>
  <c r="J21" i="2"/>
  <c r="H20" i="2"/>
  <c r="J19" i="2"/>
  <c r="W6" i="1"/>
  <c r="Y6" i="1" s="1"/>
  <c r="L6" i="1"/>
  <c r="L8" i="1"/>
  <c r="W21" i="1"/>
  <c r="Y21" i="1" s="1"/>
  <c r="L21" i="1"/>
  <c r="U22" i="1"/>
  <c r="Y27" i="1"/>
  <c r="Z28" i="1"/>
  <c r="AA30" i="1"/>
  <c r="L40" i="1"/>
  <c r="L54" i="1"/>
  <c r="W54" i="1"/>
  <c r="Y54" i="1" s="1"/>
  <c r="AB61" i="1"/>
  <c r="AA61" i="1"/>
  <c r="Z61" i="1"/>
  <c r="U68" i="1"/>
  <c r="Z78" i="1"/>
  <c r="AB78" i="1"/>
  <c r="U123" i="1"/>
  <c r="AB266" i="1"/>
  <c r="Z266" i="1"/>
  <c r="AB282" i="1"/>
  <c r="Z282" i="1"/>
  <c r="AB298" i="1"/>
  <c r="Z298" i="1"/>
  <c r="W122" i="1"/>
  <c r="Y122" i="1" s="1"/>
  <c r="L122" i="1"/>
  <c r="W154" i="1"/>
  <c r="Y154" i="1" s="1"/>
  <c r="L154" i="1"/>
  <c r="AB198" i="1"/>
  <c r="Z198" i="1"/>
  <c r="AB207" i="1"/>
  <c r="Z207" i="1"/>
  <c r="U215" i="1"/>
  <c r="U222" i="1"/>
  <c r="X228" i="1"/>
  <c r="Y228" i="1" s="1"/>
  <c r="L228" i="1"/>
  <c r="AB245" i="1"/>
  <c r="Z245" i="1"/>
  <c r="L255" i="1"/>
  <c r="W255" i="1"/>
  <c r="Y255" i="1" s="1"/>
  <c r="AB263" i="1"/>
  <c r="Z263" i="1"/>
  <c r="AB267" i="1"/>
  <c r="Z267" i="1"/>
  <c r="AB271" i="1"/>
  <c r="Z271" i="1"/>
  <c r="AB275" i="1"/>
  <c r="Z275" i="1"/>
  <c r="AB279" i="1"/>
  <c r="Z279" i="1"/>
  <c r="AB283" i="1"/>
  <c r="Z283" i="1"/>
  <c r="AB287" i="1"/>
  <c r="Z287" i="1"/>
  <c r="AB291" i="1"/>
  <c r="Z291" i="1"/>
  <c r="AB295" i="1"/>
  <c r="Z295" i="1"/>
  <c r="AB299" i="1"/>
  <c r="Z299" i="1"/>
  <c r="AB303" i="1"/>
  <c r="Z303" i="1"/>
  <c r="AB307" i="1"/>
  <c r="Z307" i="1"/>
  <c r="AB311" i="1"/>
  <c r="Z311" i="1"/>
  <c r="Z327" i="1"/>
  <c r="AB327" i="1"/>
  <c r="AB374" i="1"/>
  <c r="Z374" i="1"/>
  <c r="AA374" i="1"/>
  <c r="Z422" i="1"/>
  <c r="AB422" i="1"/>
  <c r="AA422" i="1"/>
  <c r="Z438" i="1"/>
  <c r="AB438" i="1"/>
  <c r="AA438" i="1"/>
  <c r="W82" i="1"/>
  <c r="Y82" i="1" s="1"/>
  <c r="L82" i="1"/>
  <c r="L83" i="1"/>
  <c r="X83" i="1"/>
  <c r="Y83" i="1" s="1"/>
  <c r="L84" i="1"/>
  <c r="U85" i="1"/>
  <c r="W90" i="1"/>
  <c r="Y90" i="1" s="1"/>
  <c r="L90" i="1"/>
  <c r="L91" i="1"/>
  <c r="X91" i="1"/>
  <c r="Y91" i="1" s="1"/>
  <c r="L92" i="1"/>
  <c r="U93" i="1"/>
  <c r="W98" i="1"/>
  <c r="Y98" i="1" s="1"/>
  <c r="L98" i="1"/>
  <c r="L99" i="1"/>
  <c r="X99" i="1"/>
  <c r="Y99" i="1" s="1"/>
  <c r="L100" i="1"/>
  <c r="U101" i="1"/>
  <c r="W106" i="1"/>
  <c r="Y106" i="1" s="1"/>
  <c r="L106" i="1"/>
  <c r="L107" i="1"/>
  <c r="X107" i="1"/>
  <c r="Y107" i="1" s="1"/>
  <c r="L108" i="1"/>
  <c r="U109" i="1"/>
  <c r="W126" i="1"/>
  <c r="Y126" i="1" s="1"/>
  <c r="L126" i="1"/>
  <c r="U127" i="1"/>
  <c r="AA129" i="1"/>
  <c r="Y132" i="1"/>
  <c r="Z133" i="1"/>
  <c r="L136" i="1"/>
  <c r="U141" i="1"/>
  <c r="AA161" i="1"/>
  <c r="U164" i="1"/>
  <c r="AA167" i="1"/>
  <c r="AB172" i="1"/>
  <c r="Z172" i="1"/>
  <c r="AB176" i="1"/>
  <c r="Z176" i="1"/>
  <c r="AB180" i="1"/>
  <c r="Z180" i="1"/>
  <c r="AB184" i="1"/>
  <c r="Z184" i="1"/>
  <c r="AB188" i="1"/>
  <c r="Z188" i="1"/>
  <c r="X196" i="1"/>
  <c r="Y196" i="1" s="1"/>
  <c r="L196" i="1"/>
  <c r="X200" i="1"/>
  <c r="Y200" i="1" s="1"/>
  <c r="L200" i="1"/>
  <c r="L211" i="1"/>
  <c r="W211" i="1"/>
  <c r="Y211" i="1" s="1"/>
  <c r="AB218" i="1"/>
  <c r="Z218" i="1"/>
  <c r="U230" i="1"/>
  <c r="AA230" i="1"/>
  <c r="Y234" i="1"/>
  <c r="AA234" i="1" s="1"/>
  <c r="Y237" i="1"/>
  <c r="AB246" i="1"/>
  <c r="Z246" i="1"/>
  <c r="AB261" i="1"/>
  <c r="Z261" i="1"/>
  <c r="U321" i="1"/>
  <c r="AA321" i="1"/>
  <c r="AA347" i="1"/>
  <c r="U347" i="1"/>
  <c r="AA55" i="1"/>
  <c r="Y84" i="1"/>
  <c r="Y92" i="1"/>
  <c r="Y100" i="1"/>
  <c r="Y108" i="1"/>
  <c r="L117" i="1"/>
  <c r="AB128" i="1"/>
  <c r="W130" i="1"/>
  <c r="Y130" i="1" s="1"/>
  <c r="L130" i="1"/>
  <c r="Y136" i="1"/>
  <c r="AA140" i="1"/>
  <c r="U140" i="1"/>
  <c r="L149" i="1"/>
  <c r="Y164" i="1"/>
  <c r="AA164" i="1" s="1"/>
  <c r="U169" i="1"/>
  <c r="AA169" i="1"/>
  <c r="AA171" i="1"/>
  <c r="U171" i="1"/>
  <c r="U173" i="1"/>
  <c r="AA173" i="1"/>
  <c r="AA175" i="1"/>
  <c r="U175" i="1"/>
  <c r="U177" i="1"/>
  <c r="AA177" i="1"/>
  <c r="AA179" i="1"/>
  <c r="U179" i="1"/>
  <c r="U181" i="1"/>
  <c r="AA181" i="1"/>
  <c r="AA183" i="1"/>
  <c r="U183" i="1"/>
  <c r="U185" i="1"/>
  <c r="AA185" i="1"/>
  <c r="AA187" i="1"/>
  <c r="U187" i="1"/>
  <c r="U189" i="1"/>
  <c r="AA189" i="1"/>
  <c r="AA191" i="1"/>
  <c r="U191" i="1"/>
  <c r="U198" i="1"/>
  <c r="AA198" i="1"/>
  <c r="AB206" i="1"/>
  <c r="Z206" i="1"/>
  <c r="AA209" i="1"/>
  <c r="U213" i="1"/>
  <c r="AA213" i="1"/>
  <c r="W215" i="1"/>
  <c r="Y215" i="1" s="1"/>
  <c r="AA215" i="1" s="1"/>
  <c r="AA223" i="1"/>
  <c r="U223" i="1"/>
  <c r="AB226" i="1"/>
  <c r="Z226" i="1"/>
  <c r="AB250" i="1"/>
  <c r="Z250" i="1"/>
  <c r="AB253" i="1"/>
  <c r="AA253" i="1"/>
  <c r="Z253" i="1"/>
  <c r="AB262" i="1"/>
  <c r="Z262" i="1"/>
  <c r="U55" i="1"/>
  <c r="L58" i="1"/>
  <c r="H15" i="2" s="1"/>
  <c r="L62" i="1"/>
  <c r="L66" i="1"/>
  <c r="L70" i="1"/>
  <c r="L74" i="1"/>
  <c r="L78" i="1"/>
  <c r="Z109" i="1"/>
  <c r="L112" i="1"/>
  <c r="L121" i="1"/>
  <c r="W134" i="1"/>
  <c r="Y134" i="1" s="1"/>
  <c r="L134" i="1"/>
  <c r="U135" i="1"/>
  <c r="Y140" i="1"/>
  <c r="Z141" i="1"/>
  <c r="L144" i="1"/>
  <c r="L153" i="1"/>
  <c r="AA157" i="1"/>
  <c r="AA160" i="1"/>
  <c r="U160" i="1"/>
  <c r="X164" i="1"/>
  <c r="W166" i="1"/>
  <c r="Y166" i="1" s="1"/>
  <c r="L166" i="1"/>
  <c r="AB194" i="1"/>
  <c r="Z194" i="1"/>
  <c r="X204" i="1"/>
  <c r="Y204" i="1" s="1"/>
  <c r="L204" i="1"/>
  <c r="X208" i="1"/>
  <c r="Y208" i="1" s="1"/>
  <c r="L208" i="1"/>
  <c r="AB213" i="1"/>
  <c r="L219" i="1"/>
  <c r="W219" i="1"/>
  <c r="Y219" i="1" s="1"/>
  <c r="AA226" i="1"/>
  <c r="Y229" i="1"/>
  <c r="U234" i="1"/>
  <c r="Z240" i="1"/>
  <c r="AB240" i="1"/>
  <c r="AA248" i="1"/>
  <c r="U248" i="1"/>
  <c r="Z315" i="1"/>
  <c r="AB315" i="1"/>
  <c r="AA111" i="1"/>
  <c r="Y112" i="1"/>
  <c r="AA116" i="1"/>
  <c r="U116" i="1"/>
  <c r="W138" i="1"/>
  <c r="Y138" i="1" s="1"/>
  <c r="L138" i="1"/>
  <c r="Y144" i="1"/>
  <c r="C32" i="2"/>
  <c r="AA148" i="1"/>
  <c r="U148" i="1"/>
  <c r="AB169" i="1"/>
  <c r="Z169" i="1"/>
  <c r="Z171" i="1"/>
  <c r="AB171" i="1"/>
  <c r="AB173" i="1"/>
  <c r="Z173" i="1"/>
  <c r="Z175" i="1"/>
  <c r="AB175" i="1"/>
  <c r="AB177" i="1"/>
  <c r="Z177" i="1"/>
  <c r="Z179" i="1"/>
  <c r="AB179" i="1"/>
  <c r="AB181" i="1"/>
  <c r="Z181" i="1"/>
  <c r="Z183" i="1"/>
  <c r="AB183" i="1"/>
  <c r="AB185" i="1"/>
  <c r="Z185" i="1"/>
  <c r="Z187" i="1"/>
  <c r="AB187" i="1"/>
  <c r="AB189" i="1"/>
  <c r="Z189" i="1"/>
  <c r="AB191" i="1"/>
  <c r="Z191" i="1"/>
  <c r="AA199" i="1"/>
  <c r="U199" i="1"/>
  <c r="U206" i="1"/>
  <c r="AA206" i="1"/>
  <c r="Y214" i="1"/>
  <c r="U221" i="1"/>
  <c r="AA221" i="1"/>
  <c r="AB223" i="1"/>
  <c r="Z223" i="1"/>
  <c r="L227" i="1"/>
  <c r="W227" i="1"/>
  <c r="Y227" i="1" s="1"/>
  <c r="AA240" i="1"/>
  <c r="U240" i="1"/>
  <c r="U250" i="1"/>
  <c r="AA250" i="1"/>
  <c r="Z256" i="1"/>
  <c r="AB256" i="1"/>
  <c r="AB322" i="1"/>
  <c r="Z322" i="1"/>
  <c r="Y56" i="1"/>
  <c r="L63" i="1"/>
  <c r="L67" i="1"/>
  <c r="L71" i="1"/>
  <c r="L75" i="1"/>
  <c r="L79" i="1"/>
  <c r="W86" i="1"/>
  <c r="Y86" i="1" s="1"/>
  <c r="L86" i="1"/>
  <c r="L87" i="1"/>
  <c r="X87" i="1"/>
  <c r="Y87" i="1" s="1"/>
  <c r="W94" i="1"/>
  <c r="Y94" i="1" s="1"/>
  <c r="L94" i="1"/>
  <c r="L95" i="1"/>
  <c r="X95" i="1"/>
  <c r="Y95" i="1" s="1"/>
  <c r="W102" i="1"/>
  <c r="Y102" i="1" s="1"/>
  <c r="L102" i="1"/>
  <c r="L103" i="1"/>
  <c r="X103" i="1"/>
  <c r="Y103" i="1" s="1"/>
  <c r="W110" i="1"/>
  <c r="Y110" i="1" s="1"/>
  <c r="L110" i="1"/>
  <c r="U111" i="1"/>
  <c r="Z117" i="1"/>
  <c r="W142" i="1"/>
  <c r="Y142" i="1" s="1"/>
  <c r="L142" i="1"/>
  <c r="U143" i="1"/>
  <c r="Z149" i="1"/>
  <c r="AA156" i="1"/>
  <c r="U156" i="1"/>
  <c r="W162" i="1"/>
  <c r="Y162" i="1" s="1"/>
  <c r="L162" i="1"/>
  <c r="L195" i="1"/>
  <c r="W195" i="1"/>
  <c r="Y195" i="1" s="1"/>
  <c r="AB202" i="1"/>
  <c r="Z202" i="1"/>
  <c r="X212" i="1"/>
  <c r="Y212" i="1" s="1"/>
  <c r="L212" i="1"/>
  <c r="X216" i="1"/>
  <c r="Y216" i="1" s="1"/>
  <c r="L216" i="1"/>
  <c r="AB221" i="1"/>
  <c r="AA225" i="1"/>
  <c r="L229" i="1"/>
  <c r="AB232" i="1"/>
  <c r="AB242" i="1"/>
  <c r="Z242" i="1"/>
  <c r="Z244" i="1"/>
  <c r="AB244" i="1"/>
  <c r="AA247" i="1"/>
  <c r="U247" i="1"/>
  <c r="L256" i="1"/>
  <c r="AB302" i="1"/>
  <c r="Z302" i="1"/>
  <c r="AB306" i="1"/>
  <c r="Z306" i="1"/>
  <c r="AB310" i="1"/>
  <c r="Z310" i="1"/>
  <c r="Y60" i="1"/>
  <c r="Y64" i="1"/>
  <c r="AA64" i="1" s="1"/>
  <c r="Y68" i="1"/>
  <c r="Y72" i="1"/>
  <c r="Y76" i="1"/>
  <c r="AA76" i="1" s="1"/>
  <c r="Y80" i="1"/>
  <c r="Y85" i="1"/>
  <c r="AA85" i="1" s="1"/>
  <c r="Y88" i="1"/>
  <c r="Y93" i="1"/>
  <c r="Y96" i="1"/>
  <c r="Y101" i="1"/>
  <c r="Y104" i="1"/>
  <c r="W114" i="1"/>
  <c r="Y114" i="1" s="1"/>
  <c r="L114" i="1"/>
  <c r="U115" i="1"/>
  <c r="Y120" i="1"/>
  <c r="Z121" i="1"/>
  <c r="L133" i="1"/>
  <c r="W146" i="1"/>
  <c r="Y146" i="1" s="1"/>
  <c r="L146" i="1"/>
  <c r="U147" i="1"/>
  <c r="Y152" i="1"/>
  <c r="Z153" i="1"/>
  <c r="Y156" i="1"/>
  <c r="Z157" i="1"/>
  <c r="U159" i="1"/>
  <c r="AB160" i="1"/>
  <c r="W170" i="1"/>
  <c r="Y170" i="1" s="1"/>
  <c r="L170" i="1"/>
  <c r="W174" i="1"/>
  <c r="Y174" i="1" s="1"/>
  <c r="L174" i="1"/>
  <c r="W178" i="1"/>
  <c r="Y178" i="1" s="1"/>
  <c r="L178" i="1"/>
  <c r="W182" i="1"/>
  <c r="Y182" i="1" s="1"/>
  <c r="L182" i="1"/>
  <c r="W186" i="1"/>
  <c r="Y186" i="1" s="1"/>
  <c r="L186" i="1"/>
  <c r="C25" i="2" s="1"/>
  <c r="W190" i="1"/>
  <c r="Y190" i="1" s="1"/>
  <c r="L190" i="1"/>
  <c r="AA193" i="1"/>
  <c r="L197" i="1"/>
  <c r="W199" i="1"/>
  <c r="Y199" i="1" s="1"/>
  <c r="AA202" i="1"/>
  <c r="Y205" i="1"/>
  <c r="AA207" i="1"/>
  <c r="U207" i="1"/>
  <c r="U214" i="1"/>
  <c r="Y222" i="1"/>
  <c r="AB225" i="1"/>
  <c r="L233" i="1"/>
  <c r="W233" i="1"/>
  <c r="Y233" i="1" s="1"/>
  <c r="Z236" i="1"/>
  <c r="AB236" i="1"/>
  <c r="AB238" i="1"/>
  <c r="Z238" i="1"/>
  <c r="L241" i="1"/>
  <c r="W241" i="1"/>
  <c r="Y241" i="1" s="1"/>
  <c r="AA243" i="1"/>
  <c r="AB258" i="1"/>
  <c r="Z258" i="1"/>
  <c r="Z260" i="1"/>
  <c r="AB260" i="1"/>
  <c r="AA263" i="1"/>
  <c r="U263" i="1"/>
  <c r="X111" i="1"/>
  <c r="Y111" i="1" s="1"/>
  <c r="X115" i="1"/>
  <c r="Y115" i="1" s="1"/>
  <c r="X119" i="1"/>
  <c r="Y119" i="1" s="1"/>
  <c r="X123" i="1"/>
  <c r="Y123" i="1" s="1"/>
  <c r="X127" i="1"/>
  <c r="Y127" i="1" s="1"/>
  <c r="X131" i="1"/>
  <c r="Y131" i="1" s="1"/>
  <c r="X135" i="1"/>
  <c r="Y135" i="1" s="1"/>
  <c r="X139" i="1"/>
  <c r="Y139" i="1" s="1"/>
  <c r="X143" i="1"/>
  <c r="Y143" i="1" s="1"/>
  <c r="AA143" i="1" s="1"/>
  <c r="X147" i="1"/>
  <c r="Y147" i="1" s="1"/>
  <c r="X151" i="1"/>
  <c r="Y151" i="1" s="1"/>
  <c r="X155" i="1"/>
  <c r="Y155" i="1" s="1"/>
  <c r="X159" i="1"/>
  <c r="Y159" i="1" s="1"/>
  <c r="X163" i="1"/>
  <c r="Y163" i="1" s="1"/>
  <c r="X167" i="1"/>
  <c r="Y167" i="1" s="1"/>
  <c r="L172" i="1"/>
  <c r="L176" i="1"/>
  <c r="L180" i="1"/>
  <c r="L184" i="1"/>
  <c r="L188" i="1"/>
  <c r="Y231" i="1"/>
  <c r="L244" i="1"/>
  <c r="AA245" i="1"/>
  <c r="L260" i="1"/>
  <c r="AA261" i="1"/>
  <c r="W319" i="1"/>
  <c r="Y319" i="1" s="1"/>
  <c r="L319" i="1"/>
  <c r="Z323" i="1"/>
  <c r="AB323" i="1"/>
  <c r="AB325" i="1"/>
  <c r="Z325" i="1"/>
  <c r="U336" i="1"/>
  <c r="AB353" i="1"/>
  <c r="Z353" i="1"/>
  <c r="Y320" i="1"/>
  <c r="AB326" i="1"/>
  <c r="Z326" i="1"/>
  <c r="AA335" i="1"/>
  <c r="U335" i="1"/>
  <c r="W243" i="1"/>
  <c r="Y243" i="1" s="1"/>
  <c r="U246" i="1"/>
  <c r="AA246" i="1"/>
  <c r="W259" i="1"/>
  <c r="Y259" i="1" s="1"/>
  <c r="AA322" i="1"/>
  <c r="AB324" i="1"/>
  <c r="Z324" i="1"/>
  <c r="AB345" i="1"/>
  <c r="Z345" i="1"/>
  <c r="AA236" i="1"/>
  <c r="U236" i="1"/>
  <c r="AA252" i="1"/>
  <c r="U252" i="1"/>
  <c r="AB264" i="1"/>
  <c r="Z264" i="1"/>
  <c r="AB268" i="1"/>
  <c r="Z268" i="1"/>
  <c r="AB272" i="1"/>
  <c r="Z272" i="1"/>
  <c r="AB276" i="1"/>
  <c r="Z276" i="1"/>
  <c r="AB280" i="1"/>
  <c r="Z280" i="1"/>
  <c r="AB284" i="1"/>
  <c r="Z284" i="1"/>
  <c r="AB288" i="1"/>
  <c r="Z288" i="1"/>
  <c r="AB292" i="1"/>
  <c r="Z292" i="1"/>
  <c r="AB296" i="1"/>
  <c r="Z296" i="1"/>
  <c r="AB300" i="1"/>
  <c r="Z300" i="1"/>
  <c r="AB304" i="1"/>
  <c r="Z304" i="1"/>
  <c r="AB308" i="1"/>
  <c r="Z308" i="1"/>
  <c r="AB312" i="1"/>
  <c r="Z312" i="1"/>
  <c r="W377" i="1"/>
  <c r="Y377" i="1" s="1"/>
  <c r="L377" i="1"/>
  <c r="AA379" i="1"/>
  <c r="U379" i="1"/>
  <c r="L232" i="1"/>
  <c r="U242" i="1"/>
  <c r="AA242" i="1"/>
  <c r="U258" i="1"/>
  <c r="AA258" i="1"/>
  <c r="AA264" i="1"/>
  <c r="U264" i="1"/>
  <c r="AA268" i="1"/>
  <c r="U268" i="1"/>
  <c r="AA272" i="1"/>
  <c r="U272" i="1"/>
  <c r="AA276" i="1"/>
  <c r="U276" i="1"/>
  <c r="AA280" i="1"/>
  <c r="U280" i="1"/>
  <c r="AA284" i="1"/>
  <c r="U284" i="1"/>
  <c r="AA288" i="1"/>
  <c r="U288" i="1"/>
  <c r="AA292" i="1"/>
  <c r="U292" i="1"/>
  <c r="AA296" i="1"/>
  <c r="U296" i="1"/>
  <c r="AA300" i="1"/>
  <c r="U300" i="1"/>
  <c r="AA304" i="1"/>
  <c r="U304" i="1"/>
  <c r="AA308" i="1"/>
  <c r="U308" i="1"/>
  <c r="AA312" i="1"/>
  <c r="U312" i="1"/>
  <c r="AB314" i="1"/>
  <c r="AB318" i="1"/>
  <c r="Z318" i="1"/>
  <c r="L338" i="1"/>
  <c r="W338" i="1"/>
  <c r="Y338" i="1" s="1"/>
  <c r="W349" i="1"/>
  <c r="Y349" i="1" s="1"/>
  <c r="L349" i="1"/>
  <c r="W235" i="1"/>
  <c r="Y235" i="1" s="1"/>
  <c r="U238" i="1"/>
  <c r="AA238" i="1"/>
  <c r="W251" i="1"/>
  <c r="Y251" i="1" s="1"/>
  <c r="U254" i="1"/>
  <c r="AA254" i="1"/>
  <c r="W265" i="1"/>
  <c r="Y265" i="1" s="1"/>
  <c r="L265" i="1"/>
  <c r="U267" i="1"/>
  <c r="AA267" i="1"/>
  <c r="W269" i="1"/>
  <c r="Y269" i="1" s="1"/>
  <c r="L269" i="1"/>
  <c r="U271" i="1"/>
  <c r="AA271" i="1"/>
  <c r="W273" i="1"/>
  <c r="Y273" i="1" s="1"/>
  <c r="L273" i="1"/>
  <c r="U275" i="1"/>
  <c r="AA275" i="1"/>
  <c r="W277" i="1"/>
  <c r="Y277" i="1" s="1"/>
  <c r="L277" i="1"/>
  <c r="U279" i="1"/>
  <c r="AA279" i="1"/>
  <c r="W281" i="1"/>
  <c r="Y281" i="1" s="1"/>
  <c r="L281" i="1"/>
  <c r="U283" i="1"/>
  <c r="AA283" i="1"/>
  <c r="W285" i="1"/>
  <c r="Y285" i="1" s="1"/>
  <c r="L285" i="1"/>
  <c r="U287" i="1"/>
  <c r="AA287" i="1"/>
  <c r="W289" i="1"/>
  <c r="Y289" i="1" s="1"/>
  <c r="L289" i="1"/>
  <c r="U291" i="1"/>
  <c r="AA291" i="1"/>
  <c r="W293" i="1"/>
  <c r="Y293" i="1" s="1"/>
  <c r="L293" i="1"/>
  <c r="U295" i="1"/>
  <c r="AA295" i="1"/>
  <c r="W297" i="1"/>
  <c r="Y297" i="1" s="1"/>
  <c r="L297" i="1"/>
  <c r="U299" i="1"/>
  <c r="AA299" i="1"/>
  <c r="W301" i="1"/>
  <c r="Y301" i="1" s="1"/>
  <c r="L301" i="1"/>
  <c r="U303" i="1"/>
  <c r="AA303" i="1"/>
  <c r="W305" i="1"/>
  <c r="Y305" i="1" s="1"/>
  <c r="L305" i="1"/>
  <c r="U307" i="1"/>
  <c r="AA307" i="1"/>
  <c r="W309" i="1"/>
  <c r="Y309" i="1" s="1"/>
  <c r="L309" i="1"/>
  <c r="U311" i="1"/>
  <c r="AA311" i="1"/>
  <c r="W313" i="1"/>
  <c r="Y313" i="1" s="1"/>
  <c r="L313" i="1"/>
  <c r="AB321" i="1"/>
  <c r="Z321" i="1"/>
  <c r="U327" i="1"/>
  <c r="AA327" i="1"/>
  <c r="AB329" i="1"/>
  <c r="Z329" i="1"/>
  <c r="AB331" i="1"/>
  <c r="Z331" i="1"/>
  <c r="L316" i="1"/>
  <c r="L326" i="1"/>
  <c r="W330" i="1"/>
  <c r="Y330" i="1" s="1"/>
  <c r="U344" i="1"/>
  <c r="AA344" i="1"/>
  <c r="U346" i="1"/>
  <c r="AA346" i="1"/>
  <c r="W357" i="1"/>
  <c r="Y357" i="1" s="1"/>
  <c r="L357" i="1"/>
  <c r="X359" i="1"/>
  <c r="Y359" i="1" s="1"/>
  <c r="L359" i="1"/>
  <c r="L370" i="1"/>
  <c r="W370" i="1"/>
  <c r="Y370" i="1" s="1"/>
  <c r="Z379" i="1"/>
  <c r="AB379" i="1"/>
  <c r="AB381" i="1"/>
  <c r="Z381" i="1"/>
  <c r="U389" i="1"/>
  <c r="AA389" i="1"/>
  <c r="AB584" i="1"/>
  <c r="Z584" i="1"/>
  <c r="AA262" i="1"/>
  <c r="AA266" i="1"/>
  <c r="AA270" i="1"/>
  <c r="AA274" i="1"/>
  <c r="AA278" i="1"/>
  <c r="AA282" i="1"/>
  <c r="AA286" i="1"/>
  <c r="AA290" i="1"/>
  <c r="AA294" i="1"/>
  <c r="AA298" i="1"/>
  <c r="AA302" i="1"/>
  <c r="AA306" i="1"/>
  <c r="AA310" i="1"/>
  <c r="L334" i="1"/>
  <c r="W334" i="1"/>
  <c r="Y334" i="1" s="1"/>
  <c r="Y347" i="1"/>
  <c r="U352" i="1"/>
  <c r="U354" i="1"/>
  <c r="AA354" i="1"/>
  <c r="W364" i="1"/>
  <c r="Y364" i="1" s="1"/>
  <c r="L364" i="1"/>
  <c r="X367" i="1"/>
  <c r="Y367" i="1" s="1"/>
  <c r="L367" i="1"/>
  <c r="U372" i="1"/>
  <c r="AA372" i="1"/>
  <c r="AB395" i="1"/>
  <c r="Z395" i="1"/>
  <c r="W400" i="1"/>
  <c r="Y400" i="1" s="1"/>
  <c r="L400" i="1"/>
  <c r="AB403" i="1"/>
  <c r="Z403" i="1"/>
  <c r="W412" i="1"/>
  <c r="Y412" i="1" s="1"/>
  <c r="L412" i="1"/>
  <c r="W421" i="1"/>
  <c r="Y421" i="1" s="1"/>
  <c r="L421" i="1"/>
  <c r="U428" i="1"/>
  <c r="AA428" i="1"/>
  <c r="W437" i="1"/>
  <c r="Y437" i="1" s="1"/>
  <c r="L437" i="1"/>
  <c r="X446" i="1"/>
  <c r="L446" i="1"/>
  <c r="AB461" i="1"/>
  <c r="Z461" i="1"/>
  <c r="AB520" i="1"/>
  <c r="Z520" i="1"/>
  <c r="L314" i="1"/>
  <c r="L315" i="1"/>
  <c r="W316" i="1"/>
  <c r="Y316" i="1" s="1"/>
  <c r="AA317" i="1"/>
  <c r="L318" i="1"/>
  <c r="L324" i="1"/>
  <c r="U325" i="1"/>
  <c r="AA325" i="1"/>
  <c r="U329" i="1"/>
  <c r="AA329" i="1"/>
  <c r="Y340" i="1"/>
  <c r="L342" i="1"/>
  <c r="W342" i="1"/>
  <c r="Y342" i="1" s="1"/>
  <c r="W346" i="1"/>
  <c r="Y346" i="1" s="1"/>
  <c r="U351" i="1"/>
  <c r="Y355" i="1"/>
  <c r="L362" i="1"/>
  <c r="W362" i="1"/>
  <c r="Y362" i="1" s="1"/>
  <c r="AB372" i="1"/>
  <c r="Z372" i="1"/>
  <c r="AB391" i="1"/>
  <c r="Z391" i="1"/>
  <c r="Y407" i="1"/>
  <c r="L444" i="1"/>
  <c r="X444" i="1"/>
  <c r="Y444" i="1" s="1"/>
  <c r="AA332" i="1"/>
  <c r="U332" i="1"/>
  <c r="L350" i="1"/>
  <c r="W350" i="1"/>
  <c r="Y350" i="1" s="1"/>
  <c r="W360" i="1"/>
  <c r="Y360" i="1" s="1"/>
  <c r="L360" i="1"/>
  <c r="W365" i="1"/>
  <c r="Y365" i="1" s="1"/>
  <c r="L365" i="1"/>
  <c r="W368" i="1"/>
  <c r="Y368" i="1" s="1"/>
  <c r="L368" i="1"/>
  <c r="U376" i="1"/>
  <c r="AA376" i="1"/>
  <c r="AB383" i="1"/>
  <c r="Z383" i="1"/>
  <c r="U392" i="1"/>
  <c r="AA392" i="1"/>
  <c r="AB394" i="1"/>
  <c r="Z394" i="1"/>
  <c r="AB398" i="1"/>
  <c r="Z398" i="1"/>
  <c r="AB410" i="1"/>
  <c r="Z410" i="1"/>
  <c r="AB500" i="1"/>
  <c r="Z500" i="1"/>
  <c r="Z332" i="1"/>
  <c r="Z335" i="1"/>
  <c r="U337" i="1"/>
  <c r="L340" i="1"/>
  <c r="L358" i="1"/>
  <c r="W358" i="1"/>
  <c r="Y358" i="1" s="1"/>
  <c r="AB380" i="1"/>
  <c r="Z380" i="1"/>
  <c r="Z384" i="1"/>
  <c r="AB384" i="1"/>
  <c r="W388" i="1"/>
  <c r="Y388" i="1" s="1"/>
  <c r="L388" i="1"/>
  <c r="AB390" i="1"/>
  <c r="Z390" i="1"/>
  <c r="U404" i="1"/>
  <c r="W435" i="1"/>
  <c r="Y435" i="1" s="1"/>
  <c r="L435" i="1"/>
  <c r="AB496" i="1"/>
  <c r="Z496" i="1"/>
  <c r="L323" i="1"/>
  <c r="W328" i="1"/>
  <c r="Y328" i="1" s="1"/>
  <c r="AA331" i="1"/>
  <c r="W333" i="1"/>
  <c r="Y333" i="1" s="1"/>
  <c r="L333" i="1"/>
  <c r="X337" i="1"/>
  <c r="Y337" i="1" s="1"/>
  <c r="AA337" i="1" s="1"/>
  <c r="Z343" i="1"/>
  <c r="U345" i="1"/>
  <c r="AA345" i="1"/>
  <c r="L348" i="1"/>
  <c r="AB354" i="1"/>
  <c r="W369" i="1"/>
  <c r="Y369" i="1" s="1"/>
  <c r="L369" i="1"/>
  <c r="L371" i="1"/>
  <c r="AB492" i="1"/>
  <c r="Z492" i="1"/>
  <c r="L320" i="1"/>
  <c r="U330" i="1"/>
  <c r="W341" i="1"/>
  <c r="Y341" i="1" s="1"/>
  <c r="L341" i="1"/>
  <c r="Z348" i="1"/>
  <c r="U353" i="1"/>
  <c r="AA353" i="1"/>
  <c r="AA356" i="1"/>
  <c r="U356" i="1"/>
  <c r="W361" i="1"/>
  <c r="Y361" i="1" s="1"/>
  <c r="L361" i="1"/>
  <c r="X363" i="1"/>
  <c r="Y363" i="1" s="1"/>
  <c r="L363" i="1"/>
  <c r="L366" i="1"/>
  <c r="W366" i="1"/>
  <c r="Y366" i="1" s="1"/>
  <c r="Z371" i="1"/>
  <c r="AB371" i="1"/>
  <c r="AB373" i="1"/>
  <c r="Z373" i="1"/>
  <c r="AB389" i="1"/>
  <c r="Z389" i="1"/>
  <c r="AB393" i="1"/>
  <c r="Z393" i="1"/>
  <c r="AB397" i="1"/>
  <c r="Z397" i="1"/>
  <c r="AB399" i="1"/>
  <c r="Z399" i="1"/>
  <c r="AB409" i="1"/>
  <c r="Z409" i="1"/>
  <c r="AA415" i="1"/>
  <c r="U415" i="1"/>
  <c r="AB424" i="1"/>
  <c r="AA424" i="1"/>
  <c r="Z424" i="1"/>
  <c r="AB431" i="1"/>
  <c r="Z431" i="1"/>
  <c r="AB440" i="1"/>
  <c r="AA440" i="1"/>
  <c r="Z440" i="1"/>
  <c r="AB485" i="1"/>
  <c r="Z485" i="1"/>
  <c r="AA485" i="1"/>
  <c r="Z487" i="1"/>
  <c r="AB487" i="1"/>
  <c r="AB382" i="1"/>
  <c r="Z382" i="1"/>
  <c r="AB387" i="1"/>
  <c r="Z387" i="1"/>
  <c r="AB402" i="1"/>
  <c r="Z402" i="1"/>
  <c r="AB405" i="1"/>
  <c r="Z405" i="1"/>
  <c r="W408" i="1"/>
  <c r="Y408" i="1" s="1"/>
  <c r="U410" i="1"/>
  <c r="AA410" i="1"/>
  <c r="AB411" i="1"/>
  <c r="Z411" i="1"/>
  <c r="AB418" i="1"/>
  <c r="Z418" i="1"/>
  <c r="AB425" i="1"/>
  <c r="Z425" i="1"/>
  <c r="AB427" i="1"/>
  <c r="AB432" i="1"/>
  <c r="AA432" i="1"/>
  <c r="Z432" i="1"/>
  <c r="AA436" i="1"/>
  <c r="AB441" i="1"/>
  <c r="Z441" i="1"/>
  <c r="X451" i="1"/>
  <c r="Y451" i="1" s="1"/>
  <c r="L451" i="1"/>
  <c r="X456" i="1"/>
  <c r="Y456" i="1" s="1"/>
  <c r="L456" i="1"/>
  <c r="AA467" i="1"/>
  <c r="U467" i="1"/>
  <c r="AB482" i="1"/>
  <c r="Z482" i="1"/>
  <c r="Z491" i="1"/>
  <c r="AB491" i="1"/>
  <c r="U378" i="1"/>
  <c r="L384" i="1"/>
  <c r="L393" i="1"/>
  <c r="L397" i="1"/>
  <c r="AB401" i="1"/>
  <c r="Z401" i="1"/>
  <c r="Y404" i="1"/>
  <c r="U407" i="1"/>
  <c r="U414" i="1"/>
  <c r="AA414" i="1"/>
  <c r="Y415" i="1"/>
  <c r="Y426" i="1"/>
  <c r="Y442" i="1"/>
  <c r="Y446" i="1"/>
  <c r="AB449" i="1"/>
  <c r="Z449" i="1"/>
  <c r="X454" i="1"/>
  <c r="L454" i="1"/>
  <c r="X459" i="1"/>
  <c r="L459" i="1"/>
  <c r="X464" i="1"/>
  <c r="Y464" i="1" s="1"/>
  <c r="L464" i="1"/>
  <c r="AB472" i="1"/>
  <c r="Z472" i="1"/>
  <c r="AB476" i="1"/>
  <c r="Z476" i="1"/>
  <c r="AB498" i="1"/>
  <c r="Z498" i="1"/>
  <c r="W378" i="1"/>
  <c r="Y378" i="1" s="1"/>
  <c r="AA378" i="1" s="1"/>
  <c r="AA380" i="1"/>
  <c r="Z385" i="1"/>
  <c r="AA390" i="1"/>
  <c r="AA398" i="1"/>
  <c r="AA401" i="1"/>
  <c r="Z416" i="1"/>
  <c r="AB416" i="1"/>
  <c r="AA419" i="1"/>
  <c r="U419" i="1"/>
  <c r="U423" i="1"/>
  <c r="AA423" i="1"/>
  <c r="X426" i="1"/>
  <c r="L426" i="1"/>
  <c r="Y428" i="1"/>
  <c r="AA433" i="1"/>
  <c r="U433" i="1"/>
  <c r="U439" i="1"/>
  <c r="AA439" i="1"/>
  <c r="X442" i="1"/>
  <c r="L442" i="1"/>
  <c r="Y447" i="1"/>
  <c r="X452" i="1"/>
  <c r="Y452" i="1" s="1"/>
  <c r="L452" i="1"/>
  <c r="Y454" i="1"/>
  <c r="L473" i="1"/>
  <c r="W473" i="1"/>
  <c r="Y473" i="1" s="1"/>
  <c r="AB474" i="1"/>
  <c r="Z474" i="1"/>
  <c r="AB481" i="1"/>
  <c r="Z481" i="1"/>
  <c r="AA481" i="1"/>
  <c r="AA490" i="1"/>
  <c r="U490" i="1"/>
  <c r="AB494" i="1"/>
  <c r="Z494" i="1"/>
  <c r="W505" i="1"/>
  <c r="Y505" i="1" s="1"/>
  <c r="L505" i="1"/>
  <c r="U528" i="1"/>
  <c r="AA528" i="1"/>
  <c r="AA383" i="1"/>
  <c r="AA385" i="1"/>
  <c r="AA394" i="1"/>
  <c r="AA403" i="1"/>
  <c r="U403" i="1"/>
  <c r="W406" i="1"/>
  <c r="Y406" i="1" s="1"/>
  <c r="L409" i="1"/>
  <c r="U418" i="1"/>
  <c r="AA418" i="1"/>
  <c r="Y419" i="1"/>
  <c r="AB433" i="1"/>
  <c r="Z433" i="1"/>
  <c r="X447" i="1"/>
  <c r="L447" i="1"/>
  <c r="AA453" i="1"/>
  <c r="AB457" i="1"/>
  <c r="Z457" i="1"/>
  <c r="X462" i="1"/>
  <c r="Y462" i="1" s="1"/>
  <c r="L462" i="1"/>
  <c r="AB468" i="1"/>
  <c r="Z468" i="1"/>
  <c r="AB483" i="1"/>
  <c r="AB488" i="1"/>
  <c r="Z488" i="1"/>
  <c r="AB490" i="1"/>
  <c r="Z490" i="1"/>
  <c r="AB514" i="1"/>
  <c r="Z514" i="1"/>
  <c r="AA375" i="1"/>
  <c r="AA387" i="1"/>
  <c r="W413" i="1"/>
  <c r="Y413" i="1" s="1"/>
  <c r="L413" i="1"/>
  <c r="Z420" i="1"/>
  <c r="AB420" i="1"/>
  <c r="W429" i="1"/>
  <c r="Y429" i="1" s="1"/>
  <c r="L429" i="1"/>
  <c r="Z430" i="1"/>
  <c r="AB430" i="1"/>
  <c r="X450" i="1"/>
  <c r="Y450" i="1" s="1"/>
  <c r="L450" i="1"/>
  <c r="X455" i="1"/>
  <c r="Y455" i="1" s="1"/>
  <c r="L455" i="1"/>
  <c r="X460" i="1"/>
  <c r="Y460" i="1" s="1"/>
  <c r="L460" i="1"/>
  <c r="AB466" i="1"/>
  <c r="Z466" i="1"/>
  <c r="AB470" i="1"/>
  <c r="Z470" i="1"/>
  <c r="Z479" i="1"/>
  <c r="AB479" i="1"/>
  <c r="X499" i="1"/>
  <c r="L499" i="1"/>
  <c r="AA503" i="1"/>
  <c r="U503" i="1"/>
  <c r="AB568" i="1"/>
  <c r="Z568" i="1"/>
  <c r="U375" i="1"/>
  <c r="U387" i="1"/>
  <c r="AA391" i="1"/>
  <c r="Z396" i="1"/>
  <c r="AB396" i="1"/>
  <c r="AA399" i="1"/>
  <c r="U399" i="1"/>
  <c r="AB414" i="1"/>
  <c r="Z414" i="1"/>
  <c r="AA416" i="1"/>
  <c r="Z423" i="1"/>
  <c r="AA430" i="1"/>
  <c r="Z439" i="1"/>
  <c r="X443" i="1"/>
  <c r="Y443" i="1" s="1"/>
  <c r="L443" i="1"/>
  <c r="AB445" i="1"/>
  <c r="Z445" i="1"/>
  <c r="X448" i="1"/>
  <c r="Y448" i="1" s="1"/>
  <c r="L448" i="1"/>
  <c r="AA461" i="1"/>
  <c r="AB465" i="1"/>
  <c r="AA465" i="1"/>
  <c r="Z465" i="1"/>
  <c r="AA475" i="1"/>
  <c r="U475" i="1"/>
  <c r="AB484" i="1"/>
  <c r="Z484" i="1"/>
  <c r="L489" i="1"/>
  <c r="W489" i="1"/>
  <c r="Y489" i="1" s="1"/>
  <c r="U491" i="1"/>
  <c r="AA491" i="1"/>
  <c r="Y336" i="1"/>
  <c r="AA336" i="1" s="1"/>
  <c r="Y344" i="1"/>
  <c r="Y352" i="1"/>
  <c r="L373" i="1"/>
  <c r="L381" i="1"/>
  <c r="W386" i="1"/>
  <c r="Y386" i="1" s="1"/>
  <c r="U391" i="1"/>
  <c r="AB392" i="1"/>
  <c r="AA395" i="1"/>
  <c r="AA396" i="1"/>
  <c r="AA406" i="1"/>
  <c r="AA411" i="1"/>
  <c r="U411" i="1"/>
  <c r="W417" i="1"/>
  <c r="Y417" i="1" s="1"/>
  <c r="L417" i="1"/>
  <c r="L420" i="1"/>
  <c r="AA425" i="1"/>
  <c r="U425" i="1"/>
  <c r="L427" i="1"/>
  <c r="U431" i="1"/>
  <c r="AA431" i="1"/>
  <c r="X434" i="1"/>
  <c r="Y434" i="1" s="1"/>
  <c r="L434" i="1"/>
  <c r="Z436" i="1"/>
  <c r="AB436" i="1"/>
  <c r="AA441" i="1"/>
  <c r="U441" i="1"/>
  <c r="AA449" i="1"/>
  <c r="AB453" i="1"/>
  <c r="Z453" i="1"/>
  <c r="X458" i="1"/>
  <c r="Y458" i="1" s="1"/>
  <c r="L458" i="1"/>
  <c r="X463" i="1"/>
  <c r="L463" i="1"/>
  <c r="W480" i="1"/>
  <c r="Y480" i="1" s="1"/>
  <c r="L480" i="1"/>
  <c r="AB486" i="1"/>
  <c r="Z486" i="1"/>
  <c r="U495" i="1"/>
  <c r="AA495" i="1"/>
  <c r="X523" i="1"/>
  <c r="L523" i="1"/>
  <c r="W537" i="1"/>
  <c r="Y537" i="1" s="1"/>
  <c r="L537" i="1"/>
  <c r="AA466" i="1"/>
  <c r="AA474" i="1"/>
  <c r="AB478" i="1"/>
  <c r="Z478" i="1"/>
  <c r="AA494" i="1"/>
  <c r="U508" i="1"/>
  <c r="W517" i="1"/>
  <c r="Y517" i="1" s="1"/>
  <c r="L517" i="1"/>
  <c r="Y523" i="1"/>
  <c r="AB526" i="1"/>
  <c r="Z526" i="1"/>
  <c r="Y532" i="1"/>
  <c r="X535" i="1"/>
  <c r="Y535" i="1" s="1"/>
  <c r="L535" i="1"/>
  <c r="U540" i="1"/>
  <c r="AA540" i="1"/>
  <c r="W549" i="1"/>
  <c r="Y549" i="1" s="1"/>
  <c r="L549" i="1"/>
  <c r="AA569" i="1"/>
  <c r="U569" i="1"/>
  <c r="AB576" i="1"/>
  <c r="Z576" i="1"/>
  <c r="X647" i="1"/>
  <c r="Y647" i="1" s="1"/>
  <c r="L647" i="1"/>
  <c r="AA498" i="1"/>
  <c r="Y499" i="1"/>
  <c r="AB506" i="1"/>
  <c r="Z506" i="1"/>
  <c r="X515" i="1"/>
  <c r="L515" i="1"/>
  <c r="U520" i="1"/>
  <c r="AA520" i="1"/>
  <c r="W529" i="1"/>
  <c r="Y529" i="1" s="1"/>
  <c r="L529" i="1"/>
  <c r="AB538" i="1"/>
  <c r="Z538" i="1"/>
  <c r="Z547" i="1"/>
  <c r="AB547" i="1"/>
  <c r="U552" i="1"/>
  <c r="AA552" i="1"/>
  <c r="W554" i="1"/>
  <c r="Y554" i="1" s="1"/>
  <c r="L554" i="1"/>
  <c r="U574" i="1"/>
  <c r="AB593" i="1"/>
  <c r="Z593" i="1"/>
  <c r="W600" i="1"/>
  <c r="Y600" i="1" s="1"/>
  <c r="L600" i="1"/>
  <c r="AB610" i="1"/>
  <c r="Z610" i="1"/>
  <c r="Z621" i="1"/>
  <c r="AB621" i="1"/>
  <c r="L675" i="1"/>
  <c r="W675" i="1"/>
  <c r="Y675" i="1" s="1"/>
  <c r="W678" i="1"/>
  <c r="Y678" i="1" s="1"/>
  <c r="L678" i="1"/>
  <c r="Y684" i="1"/>
  <c r="Y459" i="1"/>
  <c r="Y463" i="1"/>
  <c r="L472" i="1"/>
  <c r="L484" i="1"/>
  <c r="W493" i="1"/>
  <c r="Y493" i="1" s="1"/>
  <c r="AB495" i="1"/>
  <c r="U498" i="1"/>
  <c r="AB503" i="1"/>
  <c r="W509" i="1"/>
  <c r="Y509" i="1" s="1"/>
  <c r="L509" i="1"/>
  <c r="Y515" i="1"/>
  <c r="AB518" i="1"/>
  <c r="Z518" i="1"/>
  <c r="Y524" i="1"/>
  <c r="AA524" i="1" s="1"/>
  <c r="X527" i="1"/>
  <c r="L527" i="1"/>
  <c r="U532" i="1"/>
  <c r="AA532" i="1"/>
  <c r="W541" i="1"/>
  <c r="Y541" i="1" s="1"/>
  <c r="L541" i="1"/>
  <c r="Z542" i="1"/>
  <c r="AB542" i="1"/>
  <c r="Z543" i="1"/>
  <c r="AA545" i="1"/>
  <c r="AB557" i="1"/>
  <c r="Z557" i="1"/>
  <c r="AB561" i="1"/>
  <c r="Z561" i="1"/>
  <c r="W575" i="1"/>
  <c r="Y575" i="1" s="1"/>
  <c r="L575" i="1"/>
  <c r="Z580" i="1"/>
  <c r="U588" i="1"/>
  <c r="AA588" i="1"/>
  <c r="AB467" i="1"/>
  <c r="L471" i="1"/>
  <c r="AB475" i="1"/>
  <c r="L479" i="1"/>
  <c r="L488" i="1"/>
  <c r="W497" i="1"/>
  <c r="Y497" i="1" s="1"/>
  <c r="X507" i="1"/>
  <c r="L507" i="1"/>
  <c r="U512" i="1"/>
  <c r="AA512" i="1"/>
  <c r="AA514" i="1"/>
  <c r="W521" i="1"/>
  <c r="Y521" i="1" s="1"/>
  <c r="L521" i="1"/>
  <c r="Y527" i="1"/>
  <c r="AB530" i="1"/>
  <c r="Z530" i="1"/>
  <c r="X539" i="1"/>
  <c r="Y539" i="1" s="1"/>
  <c r="L539" i="1"/>
  <c r="AB545" i="1"/>
  <c r="Z545" i="1"/>
  <c r="AB552" i="1"/>
  <c r="Z552" i="1"/>
  <c r="Z558" i="1"/>
  <c r="AB558" i="1"/>
  <c r="Z562" i="1"/>
  <c r="AB562" i="1"/>
  <c r="U577" i="1"/>
  <c r="AB604" i="1"/>
  <c r="Z604" i="1"/>
  <c r="Z613" i="1"/>
  <c r="AB613" i="1"/>
  <c r="AA470" i="1"/>
  <c r="AA478" i="1"/>
  <c r="L483" i="1"/>
  <c r="L492" i="1"/>
  <c r="W501" i="1"/>
  <c r="Y501" i="1" s="1"/>
  <c r="Y507" i="1"/>
  <c r="AB510" i="1"/>
  <c r="Z510" i="1"/>
  <c r="Z512" i="1"/>
  <c r="Y516" i="1"/>
  <c r="X519" i="1"/>
  <c r="L519" i="1"/>
  <c r="U524" i="1"/>
  <c r="AA526" i="1"/>
  <c r="W533" i="1"/>
  <c r="Y533" i="1" s="1"/>
  <c r="L533" i="1"/>
  <c r="AA542" i="1"/>
  <c r="AA547" i="1"/>
  <c r="U572" i="1"/>
  <c r="AA572" i="1"/>
  <c r="U582" i="1"/>
  <c r="AA669" i="1"/>
  <c r="U669" i="1"/>
  <c r="W469" i="1"/>
  <c r="Y469" i="1" s="1"/>
  <c r="U470" i="1"/>
  <c r="W477" i="1"/>
  <c r="Y477" i="1" s="1"/>
  <c r="U478" i="1"/>
  <c r="AA482" i="1"/>
  <c r="L487" i="1"/>
  <c r="AA493" i="1"/>
  <c r="L496" i="1"/>
  <c r="U504" i="1"/>
  <c r="AA504" i="1"/>
  <c r="AA506" i="1"/>
  <c r="W513" i="1"/>
  <c r="Y513" i="1" s="1"/>
  <c r="L513" i="1"/>
  <c r="Y519" i="1"/>
  <c r="AB522" i="1"/>
  <c r="Z522" i="1"/>
  <c r="X531" i="1"/>
  <c r="L531" i="1"/>
  <c r="U536" i="1"/>
  <c r="AA536" i="1"/>
  <c r="AA538" i="1"/>
  <c r="U544" i="1"/>
  <c r="AA544" i="1"/>
  <c r="W546" i="1"/>
  <c r="Y546" i="1" s="1"/>
  <c r="L546" i="1"/>
  <c r="Z555" i="1"/>
  <c r="AB555" i="1"/>
  <c r="AA566" i="1"/>
  <c r="U566" i="1"/>
  <c r="W583" i="1"/>
  <c r="Y583" i="1" s="1"/>
  <c r="L583" i="1"/>
  <c r="Z588" i="1"/>
  <c r="X596" i="1"/>
  <c r="Y596" i="1" s="1"/>
  <c r="L596" i="1"/>
  <c r="AA603" i="1"/>
  <c r="U603" i="1"/>
  <c r="AA611" i="1"/>
  <c r="U611" i="1"/>
  <c r="AB642" i="1"/>
  <c r="Z642" i="1"/>
  <c r="AB646" i="1"/>
  <c r="Z646" i="1"/>
  <c r="W660" i="1"/>
  <c r="Y660" i="1" s="1"/>
  <c r="L660" i="1"/>
  <c r="AB665" i="1"/>
  <c r="Z665" i="1"/>
  <c r="L468" i="1"/>
  <c r="L476" i="1"/>
  <c r="U482" i="1"/>
  <c r="AA486" i="1"/>
  <c r="AA497" i="1"/>
  <c r="L500" i="1"/>
  <c r="AB502" i="1"/>
  <c r="Z502" i="1"/>
  <c r="Z504" i="1"/>
  <c r="Y508" i="1"/>
  <c r="AA508" i="1" s="1"/>
  <c r="X511" i="1"/>
  <c r="Y511" i="1" s="1"/>
  <c r="L511" i="1"/>
  <c r="U516" i="1"/>
  <c r="AA518" i="1"/>
  <c r="W525" i="1"/>
  <c r="Y525" i="1" s="1"/>
  <c r="L525" i="1"/>
  <c r="Y531" i="1"/>
  <c r="AB534" i="1"/>
  <c r="Z534" i="1"/>
  <c r="Z536" i="1"/>
  <c r="Y540" i="1"/>
  <c r="Z550" i="1"/>
  <c r="AB550" i="1"/>
  <c r="Z551" i="1"/>
  <c r="AA553" i="1"/>
  <c r="Y559" i="1"/>
  <c r="Y563" i="1"/>
  <c r="U585" i="1"/>
  <c r="AA590" i="1"/>
  <c r="U590" i="1"/>
  <c r="AB601" i="1"/>
  <c r="Z601" i="1"/>
  <c r="AA543" i="1"/>
  <c r="AB544" i="1"/>
  <c r="Z544" i="1"/>
  <c r="AB553" i="1"/>
  <c r="Z553" i="1"/>
  <c r="W567" i="1"/>
  <c r="Y567" i="1" s="1"/>
  <c r="L567" i="1"/>
  <c r="U580" i="1"/>
  <c r="AA580" i="1"/>
  <c r="X599" i="1"/>
  <c r="Y599" i="1" s="1"/>
  <c r="L599" i="1"/>
  <c r="L602" i="1"/>
  <c r="W602" i="1"/>
  <c r="Y602" i="1" s="1"/>
  <c r="U608" i="1"/>
  <c r="Y574" i="1"/>
  <c r="AA574" i="1" s="1"/>
  <c r="Y582" i="1"/>
  <c r="AA582" i="1" s="1"/>
  <c r="Y590" i="1"/>
  <c r="X591" i="1"/>
  <c r="Y591" i="1" s="1"/>
  <c r="L591" i="1"/>
  <c r="X607" i="1"/>
  <c r="Y607" i="1" s="1"/>
  <c r="L607" i="1"/>
  <c r="AB617" i="1"/>
  <c r="Z617" i="1"/>
  <c r="AB634" i="1"/>
  <c r="Z634" i="1"/>
  <c r="W640" i="1"/>
  <c r="Y640" i="1" s="1"/>
  <c r="L640" i="1"/>
  <c r="Z664" i="1"/>
  <c r="AB664" i="1"/>
  <c r="U545" i="1"/>
  <c r="U553" i="1"/>
  <c r="L556" i="1"/>
  <c r="L560" i="1"/>
  <c r="L564" i="1"/>
  <c r="Y569" i="1"/>
  <c r="Y577" i="1"/>
  <c r="AA577" i="1" s="1"/>
  <c r="Y585" i="1"/>
  <c r="L604" i="1"/>
  <c r="L606" i="1"/>
  <c r="W606" i="1"/>
  <c r="Y606" i="1" s="1"/>
  <c r="AB611" i="1"/>
  <c r="Z611" i="1"/>
  <c r="L614" i="1"/>
  <c r="W614" i="1"/>
  <c r="Y614" i="1" s="1"/>
  <c r="AB619" i="1"/>
  <c r="Z619" i="1"/>
  <c r="L622" i="1"/>
  <c r="W622" i="1"/>
  <c r="Y622" i="1" s="1"/>
  <c r="W632" i="1"/>
  <c r="Y632" i="1" s="1"/>
  <c r="L632" i="1"/>
  <c r="AB662" i="1"/>
  <c r="Z662" i="1"/>
  <c r="Z670" i="1"/>
  <c r="AB670" i="1"/>
  <c r="L548" i="1"/>
  <c r="W556" i="1"/>
  <c r="Y556" i="1" s="1"/>
  <c r="AA557" i="1"/>
  <c r="L558" i="1"/>
  <c r="L559" i="1"/>
  <c r="W560" i="1"/>
  <c r="Y560" i="1" s="1"/>
  <c r="AA561" i="1"/>
  <c r="L562" i="1"/>
  <c r="L563" i="1"/>
  <c r="W564" i="1"/>
  <c r="Y564" i="1" s="1"/>
  <c r="W571" i="1"/>
  <c r="Y571" i="1" s="1"/>
  <c r="L571" i="1"/>
  <c r="AA573" i="1"/>
  <c r="W579" i="1"/>
  <c r="Y579" i="1" s="1"/>
  <c r="L579" i="1"/>
  <c r="W587" i="1"/>
  <c r="Y587" i="1" s="1"/>
  <c r="L587" i="1"/>
  <c r="AA589" i="1"/>
  <c r="AA592" i="1"/>
  <c r="U594" i="1"/>
  <c r="AA594" i="1"/>
  <c r="L598" i="1"/>
  <c r="W598" i="1"/>
  <c r="Y598" i="1" s="1"/>
  <c r="AB618" i="1"/>
  <c r="Z618" i="1"/>
  <c r="Z728" i="1"/>
  <c r="AB728" i="1"/>
  <c r="Y570" i="1"/>
  <c r="AA570" i="1" s="1"/>
  <c r="Y578" i="1"/>
  <c r="Y586" i="1"/>
  <c r="U589" i="1"/>
  <c r="W605" i="1"/>
  <c r="Y605" i="1" s="1"/>
  <c r="L605" i="1"/>
  <c r="Z616" i="1"/>
  <c r="Z624" i="1"/>
  <c r="AB626" i="1"/>
  <c r="Z626" i="1"/>
  <c r="U663" i="1"/>
  <c r="U668" i="1"/>
  <c r="AA668" i="1"/>
  <c r="AB717" i="1"/>
  <c r="Z717" i="1"/>
  <c r="Y565" i="1"/>
  <c r="Y573" i="1"/>
  <c r="Y581" i="1"/>
  <c r="Y589" i="1"/>
  <c r="W594" i="1"/>
  <c r="Y594" i="1" s="1"/>
  <c r="U595" i="1"/>
  <c r="Y608" i="1"/>
  <c r="AA608" i="1" s="1"/>
  <c r="L612" i="1"/>
  <c r="AA620" i="1"/>
  <c r="U620" i="1"/>
  <c r="AA646" i="1"/>
  <c r="U646" i="1"/>
  <c r="AB658" i="1"/>
  <c r="Z658" i="1"/>
  <c r="AB566" i="1"/>
  <c r="L568" i="1"/>
  <c r="L576" i="1"/>
  <c r="L584" i="1"/>
  <c r="Y595" i="1"/>
  <c r="W597" i="1"/>
  <c r="Y597" i="1" s="1"/>
  <c r="L597" i="1"/>
  <c r="AB609" i="1"/>
  <c r="Z609" i="1"/>
  <c r="AA627" i="1"/>
  <c r="U627" i="1"/>
  <c r="AB650" i="1"/>
  <c r="Z650" i="1"/>
  <c r="U652" i="1"/>
  <c r="AA619" i="1"/>
  <c r="Y627" i="1"/>
  <c r="W633" i="1"/>
  <c r="Y633" i="1" s="1"/>
  <c r="L633" i="1"/>
  <c r="W641" i="1"/>
  <c r="Y641" i="1" s="1"/>
  <c r="L641" i="1"/>
  <c r="Y656" i="1"/>
  <c r="AA670" i="1"/>
  <c r="U670" i="1"/>
  <c r="Y672" i="1"/>
  <c r="W681" i="1"/>
  <c r="Y681" i="1" s="1"/>
  <c r="L681" i="1"/>
  <c r="X684" i="1"/>
  <c r="L684" i="1"/>
  <c r="Y690" i="1"/>
  <c r="U708" i="1"/>
  <c r="AB711" i="1"/>
  <c r="AA711" i="1"/>
  <c r="Z711" i="1"/>
  <c r="AB726" i="1"/>
  <c r="Z726" i="1"/>
  <c r="L613" i="1"/>
  <c r="L621" i="1"/>
  <c r="Y635" i="1"/>
  <c r="Y643" i="1"/>
  <c r="AA650" i="1"/>
  <c r="L656" i="1"/>
  <c r="U665" i="1"/>
  <c r="AA665" i="1"/>
  <c r="U673" i="1"/>
  <c r="AB685" i="1"/>
  <c r="Z685" i="1"/>
  <c r="X688" i="1"/>
  <c r="L688" i="1"/>
  <c r="L704" i="1"/>
  <c r="W704" i="1"/>
  <c r="Y704" i="1" s="1"/>
  <c r="AB710" i="1"/>
  <c r="Z710" i="1"/>
  <c r="AB742" i="1"/>
  <c r="Z742" i="1"/>
  <c r="Y612" i="1"/>
  <c r="Y620" i="1"/>
  <c r="W645" i="1"/>
  <c r="Y645" i="1" s="1"/>
  <c r="L645" i="1"/>
  <c r="U651" i="1"/>
  <c r="AA654" i="1"/>
  <c r="L671" i="1"/>
  <c r="W671" i="1"/>
  <c r="Y671" i="1" s="1"/>
  <c r="L679" i="1"/>
  <c r="W679" i="1"/>
  <c r="Y679" i="1" s="1"/>
  <c r="Z682" i="1"/>
  <c r="AB682" i="1"/>
  <c r="Y688" i="1"/>
  <c r="AB696" i="1"/>
  <c r="Z696" i="1"/>
  <c r="Z701" i="1"/>
  <c r="AB701" i="1"/>
  <c r="AA701" i="1"/>
  <c r="AB706" i="1"/>
  <c r="Z706" i="1"/>
  <c r="W727" i="1"/>
  <c r="Y727" i="1" s="1"/>
  <c r="L727" i="1"/>
  <c r="Z731" i="1"/>
  <c r="AB731" i="1"/>
  <c r="Z774" i="1"/>
  <c r="AB774" i="1"/>
  <c r="AA610" i="1"/>
  <c r="L615" i="1"/>
  <c r="AA618" i="1"/>
  <c r="L623" i="1"/>
  <c r="W625" i="1"/>
  <c r="Y625" i="1" s="1"/>
  <c r="L625" i="1"/>
  <c r="L626" i="1"/>
  <c r="Y628" i="1"/>
  <c r="W629" i="1"/>
  <c r="Y629" i="1" s="1"/>
  <c r="L629" i="1"/>
  <c r="L631" i="1"/>
  <c r="W637" i="1"/>
  <c r="Y637" i="1" s="1"/>
  <c r="L637" i="1"/>
  <c r="L639" i="1"/>
  <c r="W649" i="1"/>
  <c r="Y649" i="1" s="1"/>
  <c r="L649" i="1"/>
  <c r="U650" i="1"/>
  <c r="Y651" i="1"/>
  <c r="L655" i="1"/>
  <c r="AA658" i="1"/>
  <c r="L664" i="1"/>
  <c r="W673" i="1"/>
  <c r="Y673" i="1" s="1"/>
  <c r="AA673" i="1" s="1"/>
  <c r="X676" i="1"/>
  <c r="Y676" i="1" s="1"/>
  <c r="L676" i="1"/>
  <c r="AA689" i="1"/>
  <c r="U689" i="1"/>
  <c r="AB694" i="1"/>
  <c r="Z694" i="1"/>
  <c r="U700" i="1"/>
  <c r="Z712" i="1"/>
  <c r="AB712" i="1"/>
  <c r="AB714" i="1"/>
  <c r="AA716" i="1"/>
  <c r="AB723" i="1"/>
  <c r="Z723" i="1"/>
  <c r="L772" i="1"/>
  <c r="W772" i="1"/>
  <c r="Y772" i="1" s="1"/>
  <c r="L616" i="1"/>
  <c r="L624" i="1"/>
  <c r="U630" i="1"/>
  <c r="U638" i="1"/>
  <c r="W653" i="1"/>
  <c r="Y653" i="1" s="1"/>
  <c r="L653" i="1"/>
  <c r="U654" i="1"/>
  <c r="Y655" i="1"/>
  <c r="AA659" i="1"/>
  <c r="U659" i="1"/>
  <c r="AA662" i="1"/>
  <c r="W667" i="1"/>
  <c r="Y667" i="1" s="1"/>
  <c r="Z668" i="1"/>
  <c r="AB669" i="1"/>
  <c r="Z669" i="1"/>
  <c r="Z686" i="1"/>
  <c r="AB686" i="1"/>
  <c r="X692" i="1"/>
  <c r="Y692" i="1" s="1"/>
  <c r="L692" i="1"/>
  <c r="W705" i="1"/>
  <c r="Y705" i="1" s="1"/>
  <c r="L705" i="1"/>
  <c r="U709" i="1"/>
  <c r="AB718" i="1"/>
  <c r="Z718" i="1"/>
  <c r="AA725" i="1"/>
  <c r="U725" i="1"/>
  <c r="Y743" i="1"/>
  <c r="L593" i="1"/>
  <c r="L601" i="1"/>
  <c r="L609" i="1"/>
  <c r="L617" i="1"/>
  <c r="L628" i="1"/>
  <c r="Y631" i="1"/>
  <c r="Y639" i="1"/>
  <c r="W657" i="1"/>
  <c r="Y657" i="1" s="1"/>
  <c r="L657" i="1"/>
  <c r="U658" i="1"/>
  <c r="Y659" i="1"/>
  <c r="W666" i="1"/>
  <c r="Y666" i="1" s="1"/>
  <c r="L666" i="1"/>
  <c r="W674" i="1"/>
  <c r="Y674" i="1" s="1"/>
  <c r="L674" i="1"/>
  <c r="W677" i="1"/>
  <c r="Y677" i="1" s="1"/>
  <c r="L677" i="1"/>
  <c r="X680" i="1"/>
  <c r="L680" i="1"/>
  <c r="Z695" i="1"/>
  <c r="AB695" i="1"/>
  <c r="AB702" i="1"/>
  <c r="Z716" i="1"/>
  <c r="AB716" i="1"/>
  <c r="Z724" i="1"/>
  <c r="AB724" i="1"/>
  <c r="AB756" i="1"/>
  <c r="Z756" i="1"/>
  <c r="AA765" i="1"/>
  <c r="U765" i="1"/>
  <c r="AB773" i="1"/>
  <c r="Z773" i="1"/>
  <c r="AA634" i="1"/>
  <c r="L636" i="1"/>
  <c r="AA642" i="1"/>
  <c r="L644" i="1"/>
  <c r="Y652" i="1"/>
  <c r="AA652" i="1" s="1"/>
  <c r="W661" i="1"/>
  <c r="Y661" i="1" s="1"/>
  <c r="L661" i="1"/>
  <c r="U662" i="1"/>
  <c r="Y663" i="1"/>
  <c r="AA663" i="1" s="1"/>
  <c r="U672" i="1"/>
  <c r="Y680" i="1"/>
  <c r="AA693" i="1"/>
  <c r="U693" i="1"/>
  <c r="U695" i="1"/>
  <c r="AA695" i="1"/>
  <c r="AB698" i="1"/>
  <c r="AA698" i="1"/>
  <c r="Z698" i="1"/>
  <c r="Y703" i="1"/>
  <c r="Z763" i="1"/>
  <c r="AB763" i="1"/>
  <c r="L683" i="1"/>
  <c r="L687" i="1"/>
  <c r="L691" i="1"/>
  <c r="W700" i="1"/>
  <c r="Y700" i="1" s="1"/>
  <c r="L707" i="1"/>
  <c r="U710" i="1"/>
  <c r="AA710" i="1"/>
  <c r="Y721" i="1"/>
  <c r="AA728" i="1"/>
  <c r="U728" i="1"/>
  <c r="L748" i="1"/>
  <c r="W748" i="1"/>
  <c r="Y748" i="1" s="1"/>
  <c r="Z765" i="1"/>
  <c r="AB765" i="1"/>
  <c r="AA769" i="1"/>
  <c r="U769" i="1"/>
  <c r="AB775" i="1"/>
  <c r="Z775" i="1"/>
  <c r="AA785" i="1"/>
  <c r="U785" i="1"/>
  <c r="L682" i="1"/>
  <c r="L685" i="1"/>
  <c r="L686" i="1"/>
  <c r="L690" i="1"/>
  <c r="L694" i="1"/>
  <c r="W707" i="1"/>
  <c r="Y707" i="1" s="1"/>
  <c r="AB713" i="1"/>
  <c r="L718" i="1"/>
  <c r="AA723" i="1"/>
  <c r="Y730" i="1"/>
  <c r="AA739" i="1"/>
  <c r="U739" i="1"/>
  <c r="L746" i="1"/>
  <c r="W746" i="1"/>
  <c r="Y746" i="1" s="1"/>
  <c r="AA754" i="1"/>
  <c r="L761" i="1"/>
  <c r="X761" i="1"/>
  <c r="Y761" i="1" s="1"/>
  <c r="L768" i="1"/>
  <c r="W768" i="1"/>
  <c r="Y768" i="1" s="1"/>
  <c r="X779" i="1"/>
  <c r="Y779" i="1" s="1"/>
  <c r="L779" i="1"/>
  <c r="Z783" i="1"/>
  <c r="AB783" i="1"/>
  <c r="W683" i="1"/>
  <c r="Y683" i="1" s="1"/>
  <c r="W687" i="1"/>
  <c r="Y687" i="1" s="1"/>
  <c r="W691" i="1"/>
  <c r="Y691" i="1" s="1"/>
  <c r="Y708" i="1"/>
  <c r="AA708" i="1" s="1"/>
  <c r="Y709" i="1"/>
  <c r="AA717" i="1"/>
  <c r="L720" i="1"/>
  <c r="W720" i="1"/>
  <c r="Y720" i="1" s="1"/>
  <c r="AA724" i="1"/>
  <c r="AB725" i="1"/>
  <c r="Z725" i="1"/>
  <c r="L732" i="1"/>
  <c r="W732" i="1"/>
  <c r="Y732" i="1" s="1"/>
  <c r="U741" i="1"/>
  <c r="AA741" i="1"/>
  <c r="Z770" i="1"/>
  <c r="AB770" i="1"/>
  <c r="U737" i="1"/>
  <c r="AA737" i="1"/>
  <c r="AB739" i="1"/>
  <c r="Z739" i="1"/>
  <c r="Z754" i="1"/>
  <c r="AB754" i="1"/>
  <c r="L764" i="1"/>
  <c r="W764" i="1"/>
  <c r="Y764" i="1" s="1"/>
  <c r="AB766" i="1"/>
  <c r="Z766" i="1"/>
  <c r="AA777" i="1"/>
  <c r="U777" i="1"/>
  <c r="Z780" i="1"/>
  <c r="AB780" i="1"/>
  <c r="AB697" i="1"/>
  <c r="L699" i="1"/>
  <c r="L702" i="1"/>
  <c r="L714" i="1"/>
  <c r="Y715" i="1"/>
  <c r="Y722" i="1"/>
  <c r="L729" i="1"/>
  <c r="L738" i="1"/>
  <c r="W738" i="1"/>
  <c r="Y738" i="1" s="1"/>
  <c r="AB753" i="1"/>
  <c r="Z753" i="1"/>
  <c r="AA757" i="1"/>
  <c r="U757" i="1"/>
  <c r="AA773" i="1"/>
  <c r="U773" i="1"/>
  <c r="Z689" i="1"/>
  <c r="Z693" i="1"/>
  <c r="L719" i="1"/>
  <c r="W719" i="1"/>
  <c r="Y719" i="1" s="1"/>
  <c r="L726" i="1"/>
  <c r="Z729" i="1"/>
  <c r="W733" i="1"/>
  <c r="Y733" i="1" s="1"/>
  <c r="L733" i="1"/>
  <c r="Z735" i="1"/>
  <c r="AB735" i="1"/>
  <c r="Z741" i="1"/>
  <c r="W745" i="1"/>
  <c r="Y745" i="1" s="1"/>
  <c r="L745" i="1"/>
  <c r="L747" i="1"/>
  <c r="X747" i="1"/>
  <c r="L751" i="1"/>
  <c r="X751" i="1"/>
  <c r="Y751" i="1" s="1"/>
  <c r="W699" i="1"/>
  <c r="Y699" i="1" s="1"/>
  <c r="AA703" i="1"/>
  <c r="AA706" i="1"/>
  <c r="L712" i="1"/>
  <c r="X722" i="1"/>
  <c r="AB734" i="1"/>
  <c r="Z734" i="1"/>
  <c r="W736" i="1"/>
  <c r="Y736" i="1" s="1"/>
  <c r="L736" i="1"/>
  <c r="Y747" i="1"/>
  <c r="AA753" i="1"/>
  <c r="Z757" i="1"/>
  <c r="Y737" i="1"/>
  <c r="X743" i="1"/>
  <c r="U754" i="1"/>
  <c r="X767" i="1"/>
  <c r="Y767" i="1" s="1"/>
  <c r="X777" i="1"/>
  <c r="Y777" i="1" s="1"/>
  <c r="AB781" i="1"/>
  <c r="Z786" i="1"/>
  <c r="AA786" i="1"/>
  <c r="AB788" i="1"/>
  <c r="L744" i="1"/>
  <c r="L750" i="1"/>
  <c r="W752" i="1"/>
  <c r="Y752" i="1" s="1"/>
  <c r="L778" i="1"/>
  <c r="W778" i="1"/>
  <c r="Y778" i="1" s="1"/>
  <c r="Y782" i="1"/>
  <c r="L784" i="1"/>
  <c r="W784" i="1"/>
  <c r="Y784" i="1" s="1"/>
  <c r="Z785" i="1"/>
  <c r="AA789" i="1"/>
  <c r="L730" i="1"/>
  <c r="AA735" i="1"/>
  <c r="U735" i="1"/>
  <c r="L774" i="1"/>
  <c r="AA775" i="1"/>
  <c r="AA791" i="1"/>
  <c r="U791" i="1"/>
  <c r="AA731" i="1"/>
  <c r="U731" i="1"/>
  <c r="AA743" i="1"/>
  <c r="Y750" i="1"/>
  <c r="AA759" i="1"/>
  <c r="AA763" i="1"/>
  <c r="X771" i="1"/>
  <c r="Y771" i="1" s="1"/>
  <c r="L771" i="1"/>
  <c r="AB789" i="1"/>
  <c r="Z789" i="1"/>
  <c r="L721" i="1"/>
  <c r="L740" i="1"/>
  <c r="W740" i="1"/>
  <c r="Y740" i="1" s="1"/>
  <c r="U743" i="1"/>
  <c r="Y744" i="1"/>
  <c r="L749" i="1"/>
  <c r="X749" i="1"/>
  <c r="Y749" i="1" s="1"/>
  <c r="U759" i="1"/>
  <c r="Y760" i="1"/>
  <c r="L762" i="1"/>
  <c r="W762" i="1"/>
  <c r="Y762" i="1" s="1"/>
  <c r="U763" i="1"/>
  <c r="AA766" i="1"/>
  <c r="U767" i="1"/>
  <c r="L780" i="1"/>
  <c r="U787" i="1"/>
  <c r="X791" i="1"/>
  <c r="Y791" i="1" s="1"/>
  <c r="AA783" i="1"/>
  <c r="U783" i="1"/>
  <c r="Y769" i="1"/>
  <c r="L782" i="1"/>
  <c r="L792" i="1"/>
  <c r="W792" i="1"/>
  <c r="Y792" i="1" s="1"/>
  <c r="L776" i="1"/>
  <c r="W776" i="1"/>
  <c r="Y776" i="1" s="1"/>
  <c r="AA781" i="1"/>
  <c r="C35" i="2"/>
  <c r="L734" i="1"/>
  <c r="L742" i="1"/>
  <c r="L756" i="1"/>
  <c r="L758" i="1"/>
  <c r="L788" i="1"/>
  <c r="L790" i="1"/>
  <c r="C37" i="2"/>
  <c r="C33" i="2"/>
  <c r="Z647" i="1" l="1"/>
  <c r="AB647" i="1"/>
  <c r="Z462" i="1"/>
  <c r="AB462" i="1"/>
  <c r="AB147" i="1"/>
  <c r="Z147" i="1"/>
  <c r="AA147" i="1"/>
  <c r="AB455" i="1"/>
  <c r="Z455" i="1"/>
  <c r="Z200" i="1"/>
  <c r="AB200" i="1"/>
  <c r="AB761" i="1"/>
  <c r="Z761" i="1"/>
  <c r="Z535" i="1"/>
  <c r="AB535" i="1"/>
  <c r="AB139" i="1"/>
  <c r="Z139" i="1"/>
  <c r="AA139" i="1"/>
  <c r="Z450" i="1"/>
  <c r="AB450" i="1"/>
  <c r="AB135" i="1"/>
  <c r="Z135" i="1"/>
  <c r="AA135" i="1"/>
  <c r="AB95" i="1"/>
  <c r="Z95" i="1"/>
  <c r="Z208" i="1"/>
  <c r="AB208" i="1"/>
  <c r="Z458" i="1"/>
  <c r="AB458" i="1"/>
  <c r="AB443" i="1"/>
  <c r="Z443" i="1"/>
  <c r="AB115" i="1"/>
  <c r="Z115" i="1"/>
  <c r="AA115" i="1"/>
  <c r="AB692" i="1"/>
  <c r="Z692" i="1"/>
  <c r="AB676" i="1"/>
  <c r="Z676" i="1"/>
  <c r="Z539" i="1"/>
  <c r="AB539" i="1"/>
  <c r="Z434" i="1"/>
  <c r="AB434" i="1"/>
  <c r="AB127" i="1"/>
  <c r="Z127" i="1"/>
  <c r="AA127" i="1"/>
  <c r="Z31" i="1"/>
  <c r="AB31" i="1"/>
  <c r="AA31" i="1"/>
  <c r="Z749" i="1"/>
  <c r="AB749" i="1"/>
  <c r="Z511" i="1"/>
  <c r="AB511" i="1"/>
  <c r="AB596" i="1"/>
  <c r="Z596" i="1"/>
  <c r="AB451" i="1"/>
  <c r="Z451" i="1"/>
  <c r="AB444" i="1"/>
  <c r="Z444" i="1"/>
  <c r="AB151" i="1"/>
  <c r="Z151" i="1"/>
  <c r="AA151" i="1"/>
  <c r="AB119" i="1"/>
  <c r="Z119" i="1"/>
  <c r="AA119" i="1"/>
  <c r="AB103" i="1"/>
  <c r="Z103" i="1"/>
  <c r="AB168" i="1"/>
  <c r="Z168" i="1"/>
  <c r="U780" i="1"/>
  <c r="AA780" i="1"/>
  <c r="Z578" i="1"/>
  <c r="AB578" i="1"/>
  <c r="AB567" i="1"/>
  <c r="Z567" i="1"/>
  <c r="AB675" i="1"/>
  <c r="Z675" i="1"/>
  <c r="U517" i="1"/>
  <c r="AA517" i="1"/>
  <c r="AB464" i="1"/>
  <c r="Z464" i="1"/>
  <c r="U323" i="1"/>
  <c r="AA323" i="1"/>
  <c r="AB407" i="1"/>
  <c r="Z407" i="1"/>
  <c r="U334" i="1"/>
  <c r="AA334" i="1"/>
  <c r="U301" i="1"/>
  <c r="AA301" i="1"/>
  <c r="U269" i="1"/>
  <c r="AA269" i="1"/>
  <c r="AB159" i="1"/>
  <c r="Z159" i="1"/>
  <c r="Z110" i="1"/>
  <c r="AB110" i="1"/>
  <c r="U792" i="1"/>
  <c r="AA792" i="1"/>
  <c r="Z750" i="1"/>
  <c r="AB750" i="1"/>
  <c r="U774" i="1"/>
  <c r="AA774" i="1"/>
  <c r="AB782" i="1"/>
  <c r="Z782" i="1"/>
  <c r="AA712" i="1"/>
  <c r="U712" i="1"/>
  <c r="U745" i="1"/>
  <c r="AA745" i="1"/>
  <c r="U726" i="1"/>
  <c r="AA726" i="1"/>
  <c r="U714" i="1"/>
  <c r="AA714" i="1"/>
  <c r="Z732" i="1"/>
  <c r="AB732" i="1"/>
  <c r="AB709" i="1"/>
  <c r="Z709" i="1"/>
  <c r="Z779" i="1"/>
  <c r="AB779" i="1"/>
  <c r="AA690" i="1"/>
  <c r="U690" i="1"/>
  <c r="AB721" i="1"/>
  <c r="Z721" i="1"/>
  <c r="U661" i="1"/>
  <c r="AA661" i="1"/>
  <c r="AB677" i="1"/>
  <c r="Z677" i="1"/>
  <c r="Z657" i="1"/>
  <c r="AB657" i="1"/>
  <c r="Z743" i="1"/>
  <c r="AB743" i="1"/>
  <c r="Z705" i="1"/>
  <c r="AB705" i="1"/>
  <c r="Z653" i="1"/>
  <c r="AB653" i="1"/>
  <c r="AA655" i="1"/>
  <c r="U655" i="1"/>
  <c r="AA631" i="1"/>
  <c r="U631" i="1"/>
  <c r="AB727" i="1"/>
  <c r="Z727" i="1"/>
  <c r="AB688" i="1"/>
  <c r="Z688" i="1"/>
  <c r="Z643" i="1"/>
  <c r="AB643" i="1"/>
  <c r="AB672" i="1"/>
  <c r="Z672" i="1"/>
  <c r="U633" i="1"/>
  <c r="AA633" i="1"/>
  <c r="U576" i="1"/>
  <c r="AA576" i="1"/>
  <c r="AB565" i="1"/>
  <c r="Z565" i="1"/>
  <c r="Z586" i="1"/>
  <c r="AB586" i="1"/>
  <c r="U598" i="1"/>
  <c r="AA598" i="1"/>
  <c r="U579" i="1"/>
  <c r="AA579" i="1"/>
  <c r="U562" i="1"/>
  <c r="AA562" i="1"/>
  <c r="AA604" i="1"/>
  <c r="U604" i="1"/>
  <c r="AA567" i="1"/>
  <c r="U567" i="1"/>
  <c r="U525" i="1"/>
  <c r="AA525" i="1"/>
  <c r="U468" i="1"/>
  <c r="AA468" i="1"/>
  <c r="AA583" i="1"/>
  <c r="U583" i="1"/>
  <c r="Z546" i="1"/>
  <c r="AB546" i="1"/>
  <c r="U496" i="1"/>
  <c r="AA496" i="1"/>
  <c r="AB516" i="1"/>
  <c r="Z516" i="1"/>
  <c r="U541" i="1"/>
  <c r="AA541" i="1"/>
  <c r="U484" i="1"/>
  <c r="AA484" i="1"/>
  <c r="Z678" i="1"/>
  <c r="AB678" i="1"/>
  <c r="AB600" i="1"/>
  <c r="Z600" i="1"/>
  <c r="AA647" i="1"/>
  <c r="U647" i="1"/>
  <c r="AB549" i="1"/>
  <c r="Z549" i="1"/>
  <c r="Z523" i="1"/>
  <c r="AB523" i="1"/>
  <c r="AA434" i="1"/>
  <c r="U434" i="1"/>
  <c r="U417" i="1"/>
  <c r="AA417" i="1"/>
  <c r="AA443" i="1"/>
  <c r="U443" i="1"/>
  <c r="AB419" i="1"/>
  <c r="Z419" i="1"/>
  <c r="U473" i="1"/>
  <c r="AA473" i="1"/>
  <c r="U464" i="1"/>
  <c r="AA464" i="1"/>
  <c r="Z446" i="1"/>
  <c r="AB446" i="1"/>
  <c r="Z404" i="1"/>
  <c r="AB404" i="1"/>
  <c r="AB456" i="1"/>
  <c r="Z456" i="1"/>
  <c r="U320" i="1"/>
  <c r="AA320" i="1"/>
  <c r="AA348" i="1"/>
  <c r="U348" i="1"/>
  <c r="AB328" i="1"/>
  <c r="Z328" i="1"/>
  <c r="AA328" i="1"/>
  <c r="Z358" i="1"/>
  <c r="AB358" i="1"/>
  <c r="AB365" i="1"/>
  <c r="Z365" i="1"/>
  <c r="U444" i="1"/>
  <c r="AA444" i="1"/>
  <c r="AA362" i="1"/>
  <c r="U362" i="1"/>
  <c r="AA314" i="1"/>
  <c r="U314" i="1"/>
  <c r="AB437" i="1"/>
  <c r="Z437" i="1"/>
  <c r="AB367" i="1"/>
  <c r="Z367" i="1"/>
  <c r="Z334" i="1"/>
  <c r="AB334" i="1"/>
  <c r="AA370" i="1"/>
  <c r="U370" i="1"/>
  <c r="U338" i="1"/>
  <c r="AA338" i="1"/>
  <c r="AA244" i="1"/>
  <c r="U244" i="1"/>
  <c r="AB163" i="1"/>
  <c r="Z163" i="1"/>
  <c r="AB131" i="1"/>
  <c r="Z131" i="1"/>
  <c r="AA190" i="1"/>
  <c r="U190" i="1"/>
  <c r="AA174" i="1"/>
  <c r="U174" i="1"/>
  <c r="Z120" i="1"/>
  <c r="AB120" i="1"/>
  <c r="AB93" i="1"/>
  <c r="Z93" i="1"/>
  <c r="AB60" i="1"/>
  <c r="Z60" i="1"/>
  <c r="AB195" i="1"/>
  <c r="Z195" i="1"/>
  <c r="U110" i="1"/>
  <c r="AA110" i="1"/>
  <c r="AA94" i="1"/>
  <c r="U94" i="1"/>
  <c r="AA71" i="1"/>
  <c r="U71" i="1"/>
  <c r="Z112" i="1"/>
  <c r="AB112" i="1"/>
  <c r="AA163" i="1"/>
  <c r="U74" i="1"/>
  <c r="AA74" i="1"/>
  <c r="Z130" i="1"/>
  <c r="AB130" i="1"/>
  <c r="AB237" i="1"/>
  <c r="AA237" i="1"/>
  <c r="Z237" i="1"/>
  <c r="AA200" i="1"/>
  <c r="U200" i="1"/>
  <c r="Z106" i="1"/>
  <c r="AB106" i="1"/>
  <c r="AA92" i="1"/>
  <c r="U92" i="1"/>
  <c r="AA83" i="1"/>
  <c r="U83" i="1"/>
  <c r="AB255" i="1"/>
  <c r="Z255" i="1"/>
  <c r="Z154" i="1"/>
  <c r="AB154" i="1"/>
  <c r="U17" i="1"/>
  <c r="D38" i="2" s="1"/>
  <c r="AA17" i="1"/>
  <c r="U45" i="1"/>
  <c r="AA45" i="1"/>
  <c r="U249" i="1"/>
  <c r="D35" i="2" s="1"/>
  <c r="AA249" i="1"/>
  <c r="Z37" i="1"/>
  <c r="AB37" i="1"/>
  <c r="AA145" i="1"/>
  <c r="U145" i="1"/>
  <c r="AA93" i="1"/>
  <c r="Z25" i="1"/>
  <c r="AB25" i="1"/>
  <c r="U782" i="1"/>
  <c r="AA782" i="1"/>
  <c r="AA686" i="1"/>
  <c r="U686" i="1"/>
  <c r="U692" i="1"/>
  <c r="AA692" i="1"/>
  <c r="AA615" i="1"/>
  <c r="U615" i="1"/>
  <c r="AB633" i="1"/>
  <c r="Z633" i="1"/>
  <c r="AB585" i="1"/>
  <c r="Z585" i="1"/>
  <c r="U472" i="1"/>
  <c r="AA472" i="1"/>
  <c r="AB386" i="1"/>
  <c r="Z386" i="1"/>
  <c r="AA450" i="1"/>
  <c r="U450" i="1"/>
  <c r="Z442" i="1"/>
  <c r="AB442" i="1"/>
  <c r="Z366" i="1"/>
  <c r="AB366" i="1"/>
  <c r="U360" i="1"/>
  <c r="AA360" i="1"/>
  <c r="U400" i="1"/>
  <c r="AA400" i="1"/>
  <c r="AA359" i="1"/>
  <c r="U359" i="1"/>
  <c r="U285" i="1"/>
  <c r="AA285" i="1"/>
  <c r="AB190" i="1"/>
  <c r="Z190" i="1"/>
  <c r="AB88" i="1"/>
  <c r="Z88" i="1"/>
  <c r="U195" i="1"/>
  <c r="AA195" i="1"/>
  <c r="AA82" i="1"/>
  <c r="U82" i="1"/>
  <c r="AA778" i="1"/>
  <c r="U778" i="1"/>
  <c r="AA719" i="1"/>
  <c r="U719" i="1"/>
  <c r="AB691" i="1"/>
  <c r="Z691" i="1"/>
  <c r="AB680" i="1"/>
  <c r="Z680" i="1"/>
  <c r="AB607" i="1"/>
  <c r="Z607" i="1"/>
  <c r="Z519" i="1"/>
  <c r="AB519" i="1"/>
  <c r="AB463" i="1"/>
  <c r="Z463" i="1"/>
  <c r="U537" i="1"/>
  <c r="AA537" i="1"/>
  <c r="U381" i="1"/>
  <c r="AA381" i="1"/>
  <c r="AA340" i="1"/>
  <c r="U340" i="1"/>
  <c r="Z309" i="1"/>
  <c r="AB309" i="1"/>
  <c r="Z269" i="1"/>
  <c r="AB269" i="1"/>
  <c r="AB259" i="1"/>
  <c r="Z259" i="1"/>
  <c r="AB155" i="1"/>
  <c r="Z155" i="1"/>
  <c r="AA170" i="1"/>
  <c r="U170" i="1"/>
  <c r="AB87" i="1"/>
  <c r="Z87" i="1"/>
  <c r="Z204" i="1"/>
  <c r="AB204" i="1"/>
  <c r="U66" i="1"/>
  <c r="AA66" i="1"/>
  <c r="Z126" i="1"/>
  <c r="AB126" i="1"/>
  <c r="AA91" i="1"/>
  <c r="U91" i="1"/>
  <c r="Z41" i="1"/>
  <c r="AB41" i="1"/>
  <c r="Z118" i="1"/>
  <c r="AB118" i="1"/>
  <c r="AA53" i="1"/>
  <c r="U53" i="1"/>
  <c r="U13" i="1"/>
  <c r="AA13" i="1"/>
  <c r="AB59" i="1"/>
  <c r="Z59" i="1"/>
  <c r="U150" i="1"/>
  <c r="D32" i="2" s="1"/>
  <c r="AA150" i="1"/>
  <c r="AB53" i="1"/>
  <c r="Z53" i="1"/>
  <c r="U15" i="1"/>
  <c r="AA15" i="1"/>
  <c r="U205" i="1"/>
  <c r="AA205" i="1"/>
  <c r="Z33" i="1"/>
  <c r="AB33" i="1"/>
  <c r="AB257" i="1"/>
  <c r="Z257" i="1"/>
  <c r="U758" i="1"/>
  <c r="AA758" i="1"/>
  <c r="AA776" i="1"/>
  <c r="U776" i="1"/>
  <c r="Z744" i="1"/>
  <c r="AB744" i="1"/>
  <c r="AA771" i="1"/>
  <c r="U771" i="1"/>
  <c r="U730" i="1"/>
  <c r="AA730" i="1"/>
  <c r="Z752" i="1"/>
  <c r="AB752" i="1"/>
  <c r="AA752" i="1"/>
  <c r="AB777" i="1"/>
  <c r="Z777" i="1"/>
  <c r="U736" i="1"/>
  <c r="AA736" i="1"/>
  <c r="AB699" i="1"/>
  <c r="Z699" i="1"/>
  <c r="AB738" i="1"/>
  <c r="Z738" i="1"/>
  <c r="AA764" i="1"/>
  <c r="U764" i="1"/>
  <c r="C29" i="2"/>
  <c r="AB687" i="1"/>
  <c r="Z687" i="1"/>
  <c r="AA682" i="1"/>
  <c r="U682" i="1"/>
  <c r="U707" i="1"/>
  <c r="AA707" i="1"/>
  <c r="AA672" i="1"/>
  <c r="AA644" i="1"/>
  <c r="U644" i="1"/>
  <c r="U666" i="1"/>
  <c r="AA666" i="1"/>
  <c r="U628" i="1"/>
  <c r="AA628" i="1"/>
  <c r="U624" i="1"/>
  <c r="AA624" i="1"/>
  <c r="U676" i="1"/>
  <c r="AA676" i="1"/>
  <c r="U649" i="1"/>
  <c r="AA649" i="1"/>
  <c r="AB628" i="1"/>
  <c r="Z628" i="1"/>
  <c r="AB679" i="1"/>
  <c r="Z679" i="1"/>
  <c r="U645" i="1"/>
  <c r="AA645" i="1"/>
  <c r="AA613" i="1"/>
  <c r="U613" i="1"/>
  <c r="Z690" i="1"/>
  <c r="AB690" i="1"/>
  <c r="AB656" i="1"/>
  <c r="Z656" i="1"/>
  <c r="AA605" i="1"/>
  <c r="U605" i="1"/>
  <c r="U571" i="1"/>
  <c r="AA571" i="1"/>
  <c r="U559" i="1"/>
  <c r="AA559" i="1"/>
  <c r="U614" i="1"/>
  <c r="AA614" i="1"/>
  <c r="AB569" i="1"/>
  <c r="Z569" i="1"/>
  <c r="AA640" i="1"/>
  <c r="U640" i="1"/>
  <c r="AA591" i="1"/>
  <c r="U591" i="1"/>
  <c r="U602" i="1"/>
  <c r="AA602" i="1"/>
  <c r="AB540" i="1"/>
  <c r="Z540" i="1"/>
  <c r="AA516" i="1"/>
  <c r="U500" i="1"/>
  <c r="AA500" i="1"/>
  <c r="AA660" i="1"/>
  <c r="U660" i="1"/>
  <c r="U513" i="1"/>
  <c r="AA513" i="1"/>
  <c r="AA507" i="1"/>
  <c r="U507" i="1"/>
  <c r="AB509" i="1"/>
  <c r="Z509" i="1"/>
  <c r="AB459" i="1"/>
  <c r="Z459" i="1"/>
  <c r="AA535" i="1"/>
  <c r="U535" i="1"/>
  <c r="AB537" i="1"/>
  <c r="Z537" i="1"/>
  <c r="U480" i="1"/>
  <c r="AA480" i="1"/>
  <c r="U373" i="1"/>
  <c r="AA373" i="1"/>
  <c r="AB413" i="1"/>
  <c r="Z413" i="1"/>
  <c r="U409" i="1"/>
  <c r="AA409" i="1"/>
  <c r="AB452" i="1"/>
  <c r="Z452" i="1"/>
  <c r="Z428" i="1"/>
  <c r="AB428" i="1"/>
  <c r="AB415" i="1"/>
  <c r="Z415" i="1"/>
  <c r="U397" i="1"/>
  <c r="AA397" i="1"/>
  <c r="Z408" i="1"/>
  <c r="AB408" i="1"/>
  <c r="AA363" i="1"/>
  <c r="U363" i="1"/>
  <c r="AA408" i="1"/>
  <c r="Z388" i="1"/>
  <c r="AB388" i="1"/>
  <c r="Z350" i="1"/>
  <c r="AB350" i="1"/>
  <c r="Z346" i="1"/>
  <c r="AB346" i="1"/>
  <c r="U324" i="1"/>
  <c r="AA324" i="1"/>
  <c r="U421" i="1"/>
  <c r="AA421" i="1"/>
  <c r="AA357" i="1"/>
  <c r="U357" i="1"/>
  <c r="AA326" i="1"/>
  <c r="U326" i="1"/>
  <c r="AA319" i="1"/>
  <c r="U319" i="1"/>
  <c r="AA184" i="1"/>
  <c r="U184" i="1"/>
  <c r="AB233" i="1"/>
  <c r="Z233" i="1"/>
  <c r="Z205" i="1"/>
  <c r="AB205" i="1"/>
  <c r="AB186" i="1"/>
  <c r="Z186" i="1"/>
  <c r="AB170" i="1"/>
  <c r="Z170" i="1"/>
  <c r="U114" i="1"/>
  <c r="AA114" i="1"/>
  <c r="AB80" i="1"/>
  <c r="Z80" i="1"/>
  <c r="Z216" i="1"/>
  <c r="AB216" i="1"/>
  <c r="Z162" i="1"/>
  <c r="AB162" i="1"/>
  <c r="U142" i="1"/>
  <c r="AA142" i="1"/>
  <c r="AA103" i="1"/>
  <c r="U103" i="1"/>
  <c r="AA87" i="1"/>
  <c r="U87" i="1"/>
  <c r="AB56" i="1"/>
  <c r="Z56" i="1"/>
  <c r="Z134" i="1"/>
  <c r="AB134" i="1"/>
  <c r="U62" i="1"/>
  <c r="AA62" i="1"/>
  <c r="AB108" i="1"/>
  <c r="Z108" i="1"/>
  <c r="Z196" i="1"/>
  <c r="AB196" i="1"/>
  <c r="AA136" i="1"/>
  <c r="U136" i="1"/>
  <c r="AB99" i="1"/>
  <c r="Z99" i="1"/>
  <c r="AA90" i="1"/>
  <c r="U90" i="1"/>
  <c r="Z122" i="1"/>
  <c r="AB122" i="1"/>
  <c r="U21" i="1"/>
  <c r="AA21" i="1"/>
  <c r="AA168" i="1"/>
  <c r="U168" i="1"/>
  <c r="AB239" i="1"/>
  <c r="Z239" i="1"/>
  <c r="U32" i="1"/>
  <c r="AA32" i="1"/>
  <c r="Z13" i="1"/>
  <c r="AB13" i="1"/>
  <c r="AA120" i="1"/>
  <c r="AA80" i="1"/>
  <c r="AA220" i="1"/>
  <c r="U220" i="1"/>
  <c r="Z150" i="1"/>
  <c r="AB150" i="1"/>
  <c r="U47" i="1"/>
  <c r="AA47" i="1"/>
  <c r="AA20" i="1"/>
  <c r="U20" i="1"/>
  <c r="D37" i="2" s="1"/>
  <c r="U257" i="1"/>
  <c r="AA257" i="1"/>
  <c r="Z745" i="1"/>
  <c r="AB745" i="1"/>
  <c r="U732" i="1"/>
  <c r="AA732" i="1"/>
  <c r="Z661" i="1"/>
  <c r="AB661" i="1"/>
  <c r="Z667" i="1"/>
  <c r="AB667" i="1"/>
  <c r="U629" i="1"/>
  <c r="AA629" i="1"/>
  <c r="Z635" i="1"/>
  <c r="AB635" i="1"/>
  <c r="AA612" i="1"/>
  <c r="U612" i="1"/>
  <c r="AB583" i="1"/>
  <c r="Z583" i="1"/>
  <c r="U533" i="1"/>
  <c r="AA533" i="1"/>
  <c r="AA471" i="1"/>
  <c r="U471" i="1"/>
  <c r="Z454" i="1"/>
  <c r="AB454" i="1"/>
  <c r="D25" i="2"/>
  <c r="AB234" i="1"/>
  <c r="Z234" i="1"/>
  <c r="U126" i="1"/>
  <c r="AA126" i="1"/>
  <c r="AB91" i="1"/>
  <c r="Z91" i="1"/>
  <c r="AA255" i="1"/>
  <c r="U255" i="1"/>
  <c r="Z27" i="1"/>
  <c r="AB27" i="1"/>
  <c r="U41" i="1"/>
  <c r="AA41" i="1"/>
  <c r="Z45" i="1"/>
  <c r="AB45" i="1"/>
  <c r="AA749" i="1"/>
  <c r="U749" i="1"/>
  <c r="AB747" i="1"/>
  <c r="Z747" i="1"/>
  <c r="U699" i="1"/>
  <c r="AA699" i="1"/>
  <c r="Z730" i="1"/>
  <c r="AB730" i="1"/>
  <c r="Z674" i="1"/>
  <c r="AB674" i="1"/>
  <c r="AB629" i="1"/>
  <c r="Z629" i="1"/>
  <c r="Z614" i="1"/>
  <c r="AB614" i="1"/>
  <c r="AB517" i="1"/>
  <c r="Z517" i="1"/>
  <c r="Z400" i="1"/>
  <c r="AB400" i="1"/>
  <c r="AB359" i="1"/>
  <c r="Z359" i="1"/>
  <c r="Z293" i="1"/>
  <c r="AB293" i="1"/>
  <c r="AA232" i="1"/>
  <c r="U232" i="1"/>
  <c r="AB123" i="1"/>
  <c r="Z123" i="1"/>
  <c r="U162" i="1"/>
  <c r="AA162" i="1"/>
  <c r="AA63" i="1"/>
  <c r="U63" i="1"/>
  <c r="AB214" i="1"/>
  <c r="Z214" i="1"/>
  <c r="Z144" i="1"/>
  <c r="AB144" i="1"/>
  <c r="Z229" i="1"/>
  <c r="AB229" i="1"/>
  <c r="U134" i="1"/>
  <c r="AA134" i="1"/>
  <c r="AA149" i="1"/>
  <c r="U149" i="1"/>
  <c r="AA117" i="1"/>
  <c r="U117" i="1"/>
  <c r="C30" i="2"/>
  <c r="AA196" i="1"/>
  <c r="U196" i="1"/>
  <c r="AA100" i="1"/>
  <c r="U100" i="1"/>
  <c r="Z47" i="1"/>
  <c r="AB47" i="1"/>
  <c r="AA756" i="1"/>
  <c r="U756" i="1"/>
  <c r="C20" i="2"/>
  <c r="Z771" i="1"/>
  <c r="AB771" i="1"/>
  <c r="C18" i="2"/>
  <c r="U750" i="1"/>
  <c r="AA750" i="1"/>
  <c r="AB767" i="1"/>
  <c r="Z767" i="1"/>
  <c r="Z736" i="1"/>
  <c r="AB736" i="1"/>
  <c r="Z751" i="1"/>
  <c r="AB751" i="1"/>
  <c r="AA738" i="1"/>
  <c r="U738" i="1"/>
  <c r="AB683" i="1"/>
  <c r="Z683" i="1"/>
  <c r="AA761" i="1"/>
  <c r="U761" i="1"/>
  <c r="U718" i="1"/>
  <c r="AA718" i="1"/>
  <c r="AB748" i="1"/>
  <c r="Z748" i="1"/>
  <c r="AB700" i="1"/>
  <c r="Z700" i="1"/>
  <c r="Z666" i="1"/>
  <c r="AB666" i="1"/>
  <c r="U617" i="1"/>
  <c r="AA617" i="1"/>
  <c r="U616" i="1"/>
  <c r="AA616" i="1"/>
  <c r="Z649" i="1"/>
  <c r="AB649" i="1"/>
  <c r="AA626" i="1"/>
  <c r="U626" i="1"/>
  <c r="AA679" i="1"/>
  <c r="U679" i="1"/>
  <c r="Z645" i="1"/>
  <c r="AB645" i="1"/>
  <c r="AB704" i="1"/>
  <c r="Z704" i="1"/>
  <c r="U684" i="1"/>
  <c r="AA684" i="1"/>
  <c r="AA643" i="1"/>
  <c r="AA597" i="1"/>
  <c r="U597" i="1"/>
  <c r="AB594" i="1"/>
  <c r="Z594" i="1"/>
  <c r="Z605" i="1"/>
  <c r="AB605" i="1"/>
  <c r="AB571" i="1"/>
  <c r="Z571" i="1"/>
  <c r="U558" i="1"/>
  <c r="AA558" i="1"/>
  <c r="AA632" i="1"/>
  <c r="U632" i="1"/>
  <c r="U564" i="1"/>
  <c r="AA564" i="1"/>
  <c r="AB640" i="1"/>
  <c r="Z640" i="1"/>
  <c r="AB591" i="1"/>
  <c r="Z591" i="1"/>
  <c r="AA599" i="1"/>
  <c r="U599" i="1"/>
  <c r="AA585" i="1"/>
  <c r="AB660" i="1"/>
  <c r="Z660" i="1"/>
  <c r="AB513" i="1"/>
  <c r="Z513" i="1"/>
  <c r="Z507" i="1"/>
  <c r="AB507" i="1"/>
  <c r="AA527" i="1"/>
  <c r="U527" i="1"/>
  <c r="AA523" i="1"/>
  <c r="U523" i="1"/>
  <c r="AB480" i="1"/>
  <c r="Z480" i="1"/>
  <c r="AA427" i="1"/>
  <c r="U427" i="1"/>
  <c r="AB352" i="1"/>
  <c r="Z352" i="1"/>
  <c r="U448" i="1"/>
  <c r="AA448" i="1"/>
  <c r="U499" i="1"/>
  <c r="AA499" i="1"/>
  <c r="AA447" i="1"/>
  <c r="U447" i="1"/>
  <c r="AB406" i="1"/>
  <c r="Z406" i="1"/>
  <c r="U505" i="1"/>
  <c r="AA505" i="1"/>
  <c r="AB447" i="1"/>
  <c r="Z447" i="1"/>
  <c r="AA426" i="1"/>
  <c r="U426" i="1"/>
  <c r="AA454" i="1"/>
  <c r="U454" i="1"/>
  <c r="U393" i="1"/>
  <c r="AA393" i="1"/>
  <c r="AB363" i="1"/>
  <c r="Z363" i="1"/>
  <c r="AA341" i="1"/>
  <c r="U341" i="1"/>
  <c r="AA371" i="1"/>
  <c r="U371" i="1"/>
  <c r="AB337" i="1"/>
  <c r="Z337" i="1"/>
  <c r="AA435" i="1"/>
  <c r="U435" i="1"/>
  <c r="U350" i="1"/>
  <c r="AA350" i="1"/>
  <c r="Z342" i="1"/>
  <c r="AB342" i="1"/>
  <c r="AA318" i="1"/>
  <c r="U318" i="1"/>
  <c r="AB421" i="1"/>
  <c r="Z421" i="1"/>
  <c r="AB357" i="1"/>
  <c r="Z357" i="1"/>
  <c r="U316" i="1"/>
  <c r="AA316" i="1"/>
  <c r="AB235" i="1"/>
  <c r="Z235" i="1"/>
  <c r="AA235" i="1"/>
  <c r="Z319" i="1"/>
  <c r="AB319" i="1"/>
  <c r="AA180" i="1"/>
  <c r="U180" i="1"/>
  <c r="U233" i="1"/>
  <c r="AA233" i="1"/>
  <c r="AA182" i="1"/>
  <c r="U182" i="1"/>
  <c r="U146" i="1"/>
  <c r="AA146" i="1"/>
  <c r="Z114" i="1"/>
  <c r="AB114" i="1"/>
  <c r="AB76" i="1"/>
  <c r="Z76" i="1"/>
  <c r="AA212" i="1"/>
  <c r="U212" i="1"/>
  <c r="AA159" i="1"/>
  <c r="Z142" i="1"/>
  <c r="AB142" i="1"/>
  <c r="AA102" i="1"/>
  <c r="U102" i="1"/>
  <c r="D21" i="2" s="1"/>
  <c r="AA86" i="1"/>
  <c r="U86" i="1"/>
  <c r="AB227" i="1"/>
  <c r="Z227" i="1"/>
  <c r="U138" i="1"/>
  <c r="AA138" i="1"/>
  <c r="AB219" i="1"/>
  <c r="Z219" i="1"/>
  <c r="U153" i="1"/>
  <c r="AA153" i="1"/>
  <c r="U121" i="1"/>
  <c r="AA121" i="1"/>
  <c r="U58" i="1"/>
  <c r="AA58" i="1"/>
  <c r="AB100" i="1"/>
  <c r="Z100" i="1"/>
  <c r="AA108" i="1"/>
  <c r="U108" i="1"/>
  <c r="AA99" i="1"/>
  <c r="U99" i="1"/>
  <c r="Z90" i="1"/>
  <c r="AB90" i="1"/>
  <c r="AA228" i="1"/>
  <c r="U228" i="1"/>
  <c r="AA123" i="1"/>
  <c r="Z54" i="1"/>
  <c r="AB54" i="1"/>
  <c r="Z21" i="1"/>
  <c r="AB21" i="1"/>
  <c r="U36" i="1"/>
  <c r="D23" i="2" s="1"/>
  <c r="AA36" i="1"/>
  <c r="AA239" i="1"/>
  <c r="U239" i="1"/>
  <c r="U23" i="1"/>
  <c r="AA23" i="1"/>
  <c r="Z15" i="1"/>
  <c r="AB15" i="1"/>
  <c r="AA113" i="1"/>
  <c r="U113" i="1"/>
  <c r="Z220" i="1"/>
  <c r="AB220" i="1"/>
  <c r="AA132" i="1"/>
  <c r="U132" i="1"/>
  <c r="Z11" i="1"/>
  <c r="AB11" i="1"/>
  <c r="AA192" i="1"/>
  <c r="U192" i="1"/>
  <c r="U29" i="1"/>
  <c r="AA29" i="1"/>
  <c r="AA56" i="1"/>
  <c r="AB719" i="1"/>
  <c r="Z719" i="1"/>
  <c r="Z768" i="1"/>
  <c r="AB768" i="1"/>
  <c r="Z639" i="1"/>
  <c r="AB639" i="1"/>
  <c r="Z651" i="1"/>
  <c r="AB651" i="1"/>
  <c r="U568" i="1"/>
  <c r="AA568" i="1"/>
  <c r="AB525" i="1"/>
  <c r="Z525" i="1"/>
  <c r="Z515" i="1"/>
  <c r="AB515" i="1"/>
  <c r="AB489" i="1"/>
  <c r="Z489" i="1"/>
  <c r="AA358" i="1"/>
  <c r="U358" i="1"/>
  <c r="AB355" i="1"/>
  <c r="Z355" i="1"/>
  <c r="U364" i="1"/>
  <c r="AA364" i="1"/>
  <c r="AB251" i="1"/>
  <c r="Z251" i="1"/>
  <c r="AA251" i="1"/>
  <c r="AB231" i="1"/>
  <c r="Z231" i="1"/>
  <c r="AA231" i="1"/>
  <c r="AB174" i="1"/>
  <c r="Z174" i="1"/>
  <c r="Z94" i="1"/>
  <c r="AB94" i="1"/>
  <c r="AA204" i="1"/>
  <c r="U204" i="1"/>
  <c r="AA88" i="1"/>
  <c r="Z224" i="1"/>
  <c r="AB224" i="1"/>
  <c r="AA224" i="1"/>
  <c r="U224" i="1"/>
  <c r="Z35" i="1"/>
  <c r="AB35" i="1"/>
  <c r="AA788" i="1"/>
  <c r="U788" i="1"/>
  <c r="Z764" i="1"/>
  <c r="AB764" i="1"/>
  <c r="U768" i="1"/>
  <c r="AA768" i="1"/>
  <c r="Z703" i="1"/>
  <c r="AB703" i="1"/>
  <c r="Z631" i="1"/>
  <c r="AB631" i="1"/>
  <c r="AB577" i="1"/>
  <c r="Z577" i="1"/>
  <c r="AB533" i="1"/>
  <c r="Z533" i="1"/>
  <c r="AA515" i="1"/>
  <c r="U515" i="1"/>
  <c r="U413" i="1"/>
  <c r="AA413" i="1"/>
  <c r="AA459" i="1"/>
  <c r="U459" i="1"/>
  <c r="Z330" i="1"/>
  <c r="AB330" i="1"/>
  <c r="Z301" i="1"/>
  <c r="AB301" i="1"/>
  <c r="AB320" i="1"/>
  <c r="Z320" i="1"/>
  <c r="AA186" i="1"/>
  <c r="U186" i="1"/>
  <c r="AB85" i="1"/>
  <c r="Z85" i="1"/>
  <c r="AA216" i="1"/>
  <c r="U216" i="1"/>
  <c r="Z82" i="1"/>
  <c r="AB82" i="1"/>
  <c r="U122" i="1"/>
  <c r="AA122" i="1"/>
  <c r="C22" i="2"/>
  <c r="U742" i="1"/>
  <c r="AA742" i="1"/>
  <c r="AB762" i="1"/>
  <c r="Z762" i="1"/>
  <c r="AB740" i="1"/>
  <c r="Z740" i="1"/>
  <c r="AA767" i="1"/>
  <c r="U744" i="1"/>
  <c r="AA744" i="1"/>
  <c r="AA751" i="1"/>
  <c r="U751" i="1"/>
  <c r="U733" i="1"/>
  <c r="AA733" i="1"/>
  <c r="U729" i="1"/>
  <c r="AA729" i="1"/>
  <c r="Z720" i="1"/>
  <c r="AB720" i="1"/>
  <c r="U748" i="1"/>
  <c r="AA748" i="1"/>
  <c r="AA691" i="1"/>
  <c r="U691" i="1"/>
  <c r="AA667" i="1"/>
  <c r="AA636" i="1"/>
  <c r="U636" i="1"/>
  <c r="U680" i="1"/>
  <c r="AA680" i="1"/>
  <c r="Z659" i="1"/>
  <c r="AB659" i="1"/>
  <c r="U609" i="1"/>
  <c r="AA609" i="1"/>
  <c r="Z655" i="1"/>
  <c r="AB655" i="1"/>
  <c r="AB772" i="1"/>
  <c r="Z772" i="1"/>
  <c r="AA700" i="1"/>
  <c r="AB673" i="1"/>
  <c r="Z673" i="1"/>
  <c r="AA639" i="1"/>
  <c r="U639" i="1"/>
  <c r="U625" i="1"/>
  <c r="AA625" i="1"/>
  <c r="AB671" i="1"/>
  <c r="Z671" i="1"/>
  <c r="AB620" i="1"/>
  <c r="Z620" i="1"/>
  <c r="U704" i="1"/>
  <c r="AA704" i="1"/>
  <c r="U641" i="1"/>
  <c r="AA641" i="1"/>
  <c r="Z597" i="1"/>
  <c r="AB597" i="1"/>
  <c r="AB589" i="1"/>
  <c r="Z589" i="1"/>
  <c r="U587" i="1"/>
  <c r="AA587" i="1"/>
  <c r="AA565" i="1"/>
  <c r="AB632" i="1"/>
  <c r="Z632" i="1"/>
  <c r="U560" i="1"/>
  <c r="AA560" i="1"/>
  <c r="Z590" i="1"/>
  <c r="AB590" i="1"/>
  <c r="AB599" i="1"/>
  <c r="Z599" i="1"/>
  <c r="Z563" i="1"/>
  <c r="AB563" i="1"/>
  <c r="AA511" i="1"/>
  <c r="U511" i="1"/>
  <c r="AA596" i="1"/>
  <c r="U596" i="1"/>
  <c r="AB477" i="1"/>
  <c r="AA477" i="1"/>
  <c r="Z477" i="1"/>
  <c r="AB501" i="1"/>
  <c r="Z501" i="1"/>
  <c r="AA501" i="1"/>
  <c r="Z527" i="1"/>
  <c r="AB527" i="1"/>
  <c r="AB497" i="1"/>
  <c r="Z497" i="1"/>
  <c r="AA554" i="1"/>
  <c r="U554" i="1"/>
  <c r="AB532" i="1"/>
  <c r="Z532" i="1"/>
  <c r="AA463" i="1"/>
  <c r="U463" i="1"/>
  <c r="AB344" i="1"/>
  <c r="Z344" i="1"/>
  <c r="AB448" i="1"/>
  <c r="Z448" i="1"/>
  <c r="U460" i="1"/>
  <c r="AA460" i="1"/>
  <c r="AB505" i="1"/>
  <c r="Z505" i="1"/>
  <c r="AA442" i="1"/>
  <c r="U442" i="1"/>
  <c r="AA386" i="1"/>
  <c r="AA361" i="1"/>
  <c r="U361" i="1"/>
  <c r="Z341" i="1"/>
  <c r="AB341" i="1"/>
  <c r="AA369" i="1"/>
  <c r="U369" i="1"/>
  <c r="AA333" i="1"/>
  <c r="U333" i="1"/>
  <c r="Z435" i="1"/>
  <c r="AB435" i="1"/>
  <c r="U368" i="1"/>
  <c r="AA368" i="1"/>
  <c r="U342" i="1"/>
  <c r="AA342" i="1"/>
  <c r="AA446" i="1"/>
  <c r="U446" i="1"/>
  <c r="U412" i="1"/>
  <c r="AA412" i="1"/>
  <c r="AA352" i="1"/>
  <c r="AA355" i="1"/>
  <c r="U313" i="1"/>
  <c r="AA313" i="1"/>
  <c r="U305" i="1"/>
  <c r="AA305" i="1"/>
  <c r="U297" i="1"/>
  <c r="AA297" i="1"/>
  <c r="U289" i="1"/>
  <c r="AA289" i="1"/>
  <c r="U281" i="1"/>
  <c r="AA281" i="1"/>
  <c r="U273" i="1"/>
  <c r="AA273" i="1"/>
  <c r="U265" i="1"/>
  <c r="AA265" i="1"/>
  <c r="AA349" i="1"/>
  <c r="U349" i="1"/>
  <c r="U377" i="1"/>
  <c r="AA377" i="1"/>
  <c r="AB243" i="1"/>
  <c r="Z243" i="1"/>
  <c r="AA176" i="1"/>
  <c r="U176" i="1"/>
  <c r="AB143" i="1"/>
  <c r="Z143" i="1"/>
  <c r="AB111" i="1"/>
  <c r="Z111" i="1"/>
  <c r="AB241" i="1"/>
  <c r="Z241" i="1"/>
  <c r="AB199" i="1"/>
  <c r="Z199" i="1"/>
  <c r="AB182" i="1"/>
  <c r="Z182" i="1"/>
  <c r="Z146" i="1"/>
  <c r="AB146" i="1"/>
  <c r="AB104" i="1"/>
  <c r="Z104" i="1"/>
  <c r="AB72" i="1"/>
  <c r="Z72" i="1"/>
  <c r="Z212" i="1"/>
  <c r="AB212" i="1"/>
  <c r="Z102" i="1"/>
  <c r="AB102" i="1"/>
  <c r="Z86" i="1"/>
  <c r="AB86" i="1"/>
  <c r="U227" i="1"/>
  <c r="AA227" i="1"/>
  <c r="Z138" i="1"/>
  <c r="AB138" i="1"/>
  <c r="U219" i="1"/>
  <c r="AA219" i="1"/>
  <c r="U166" i="1"/>
  <c r="AA166" i="1"/>
  <c r="AA144" i="1"/>
  <c r="U144" i="1"/>
  <c r="AA112" i="1"/>
  <c r="U112" i="1"/>
  <c r="Z136" i="1"/>
  <c r="AB136" i="1"/>
  <c r="AB92" i="1"/>
  <c r="Z92" i="1"/>
  <c r="Z132" i="1"/>
  <c r="AB132" i="1"/>
  <c r="AB107" i="1"/>
  <c r="Z107" i="1"/>
  <c r="AA98" i="1"/>
  <c r="U98" i="1"/>
  <c r="Z228" i="1"/>
  <c r="AB228" i="1"/>
  <c r="AA54" i="1"/>
  <c r="U54" i="1"/>
  <c r="U8" i="1"/>
  <c r="AA8" i="1"/>
  <c r="AA72" i="1"/>
  <c r="U49" i="1"/>
  <c r="D28" i="2" s="1"/>
  <c r="AA49" i="1"/>
  <c r="H10" i="2"/>
  <c r="U9" i="1"/>
  <c r="AA9" i="1"/>
  <c r="AB113" i="1"/>
  <c r="Z113" i="1"/>
  <c r="AB203" i="1"/>
  <c r="Z203" i="1"/>
  <c r="H12" i="2"/>
  <c r="AA11" i="1"/>
  <c r="C28" i="2"/>
  <c r="Z29" i="1"/>
  <c r="AB29" i="1"/>
  <c r="U158" i="1"/>
  <c r="D24" i="2" s="1"/>
  <c r="AA158" i="1"/>
  <c r="Z708" i="1"/>
  <c r="AB708" i="1"/>
  <c r="AA674" i="1"/>
  <c r="U674" i="1"/>
  <c r="AB541" i="1"/>
  <c r="Z541" i="1"/>
  <c r="AB417" i="1"/>
  <c r="Z417" i="1"/>
  <c r="AA451" i="1"/>
  <c r="U451" i="1"/>
  <c r="U309" i="1"/>
  <c r="AA309" i="1"/>
  <c r="U277" i="1"/>
  <c r="AA277" i="1"/>
  <c r="Z152" i="1"/>
  <c r="AB152" i="1"/>
  <c r="AA67" i="1"/>
  <c r="U67" i="1"/>
  <c r="AB215" i="1"/>
  <c r="Z215" i="1"/>
  <c r="U118" i="1"/>
  <c r="AA118" i="1"/>
  <c r="AB769" i="1"/>
  <c r="Z769" i="1"/>
  <c r="AA685" i="1"/>
  <c r="U685" i="1"/>
  <c r="AB652" i="1"/>
  <c r="Z652" i="1"/>
  <c r="AA621" i="1"/>
  <c r="U621" i="1"/>
  <c r="Z608" i="1"/>
  <c r="AB608" i="1"/>
  <c r="Z560" i="1"/>
  <c r="AB560" i="1"/>
  <c r="U487" i="1"/>
  <c r="AA487" i="1"/>
  <c r="U509" i="1"/>
  <c r="AA509" i="1"/>
  <c r="AA578" i="1"/>
  <c r="U452" i="1"/>
  <c r="AA452" i="1"/>
  <c r="Z426" i="1"/>
  <c r="AB426" i="1"/>
  <c r="AB360" i="1"/>
  <c r="Z360" i="1"/>
  <c r="Z277" i="1"/>
  <c r="AB277" i="1"/>
  <c r="C21" i="2"/>
  <c r="AA762" i="1"/>
  <c r="U762" i="1"/>
  <c r="AA740" i="1"/>
  <c r="U740" i="1"/>
  <c r="Z784" i="1"/>
  <c r="AB784" i="1"/>
  <c r="AB733" i="1"/>
  <c r="Z733" i="1"/>
  <c r="AB722" i="1"/>
  <c r="Z722" i="1"/>
  <c r="AA722" i="1"/>
  <c r="AB707" i="1"/>
  <c r="Z707" i="1"/>
  <c r="U601" i="1"/>
  <c r="AA601" i="1"/>
  <c r="AA709" i="1"/>
  <c r="AA772" i="1"/>
  <c r="U772" i="1"/>
  <c r="U664" i="1"/>
  <c r="AA664" i="1"/>
  <c r="AB625" i="1"/>
  <c r="Z625" i="1"/>
  <c r="AB612" i="1"/>
  <c r="Z612" i="1"/>
  <c r="AA656" i="1"/>
  <c r="U656" i="1"/>
  <c r="AB641" i="1"/>
  <c r="Z641" i="1"/>
  <c r="AB595" i="1"/>
  <c r="Z595" i="1"/>
  <c r="AB581" i="1"/>
  <c r="Z581" i="1"/>
  <c r="AB587" i="1"/>
  <c r="Z587" i="1"/>
  <c r="Z564" i="1"/>
  <c r="AB564" i="1"/>
  <c r="Z622" i="1"/>
  <c r="AB622" i="1"/>
  <c r="Z606" i="1"/>
  <c r="AB606" i="1"/>
  <c r="U556" i="1"/>
  <c r="AA556" i="1"/>
  <c r="Z582" i="1"/>
  <c r="AB582" i="1"/>
  <c r="Z559" i="1"/>
  <c r="AB559" i="1"/>
  <c r="AA531" i="1"/>
  <c r="U531" i="1"/>
  <c r="AA519" i="1"/>
  <c r="U519" i="1"/>
  <c r="U492" i="1"/>
  <c r="AA492" i="1"/>
  <c r="AA586" i="1"/>
  <c r="U521" i="1"/>
  <c r="AA521" i="1"/>
  <c r="U488" i="1"/>
  <c r="AA488" i="1"/>
  <c r="AA575" i="1"/>
  <c r="U575" i="1"/>
  <c r="AB524" i="1"/>
  <c r="Z524" i="1"/>
  <c r="Z554" i="1"/>
  <c r="AB554" i="1"/>
  <c r="U529" i="1"/>
  <c r="AA529" i="1"/>
  <c r="Z499" i="1"/>
  <c r="AB499" i="1"/>
  <c r="AB336" i="1"/>
  <c r="Z336" i="1"/>
  <c r="AB460" i="1"/>
  <c r="Z460" i="1"/>
  <c r="U429" i="1"/>
  <c r="AA429" i="1"/>
  <c r="U384" i="1"/>
  <c r="AA384" i="1"/>
  <c r="AB361" i="1"/>
  <c r="Z361" i="1"/>
  <c r="AA330" i="1"/>
  <c r="AB369" i="1"/>
  <c r="Z369" i="1"/>
  <c r="Z333" i="1"/>
  <c r="AB333" i="1"/>
  <c r="AA404" i="1"/>
  <c r="AB368" i="1"/>
  <c r="Z368" i="1"/>
  <c r="AB340" i="1"/>
  <c r="Z340" i="1"/>
  <c r="Z316" i="1"/>
  <c r="AB316" i="1"/>
  <c r="Z412" i="1"/>
  <c r="AB412" i="1"/>
  <c r="AB313" i="1"/>
  <c r="Z313" i="1"/>
  <c r="Z305" i="1"/>
  <c r="AB305" i="1"/>
  <c r="Z297" i="1"/>
  <c r="AB297" i="1"/>
  <c r="Z289" i="1"/>
  <c r="AB289" i="1"/>
  <c r="Z281" i="1"/>
  <c r="AB281" i="1"/>
  <c r="Z273" i="1"/>
  <c r="AB273" i="1"/>
  <c r="Z265" i="1"/>
  <c r="AB265" i="1"/>
  <c r="Z349" i="1"/>
  <c r="AB349" i="1"/>
  <c r="AB377" i="1"/>
  <c r="Z377" i="1"/>
  <c r="AA260" i="1"/>
  <c r="U260" i="1"/>
  <c r="AA172" i="1"/>
  <c r="U172" i="1"/>
  <c r="U241" i="1"/>
  <c r="AA241" i="1"/>
  <c r="AB222" i="1"/>
  <c r="Z222" i="1"/>
  <c r="U197" i="1"/>
  <c r="AA197" i="1"/>
  <c r="AA178" i="1"/>
  <c r="U178" i="1"/>
  <c r="AA133" i="1"/>
  <c r="U133" i="1"/>
  <c r="AB101" i="1"/>
  <c r="Z101" i="1"/>
  <c r="AB68" i="1"/>
  <c r="Z68" i="1"/>
  <c r="AA79" i="1"/>
  <c r="U79" i="1"/>
  <c r="Z166" i="1"/>
  <c r="AB166" i="1"/>
  <c r="AB84" i="1"/>
  <c r="Z84" i="1"/>
  <c r="AB211" i="1"/>
  <c r="Z211" i="1"/>
  <c r="AA131" i="1"/>
  <c r="AA107" i="1"/>
  <c r="U107" i="1"/>
  <c r="Z98" i="1"/>
  <c r="AB98" i="1"/>
  <c r="AA84" i="1"/>
  <c r="U84" i="1"/>
  <c r="AA222" i="1"/>
  <c r="AA40" i="1"/>
  <c r="U40" i="1"/>
  <c r="C34" i="2"/>
  <c r="H5" i="2"/>
  <c r="F5" i="2"/>
  <c r="H11" i="2"/>
  <c r="U6" i="1"/>
  <c r="AA6" i="1"/>
  <c r="AA259" i="1"/>
  <c r="Z49" i="1"/>
  <c r="AB49" i="1"/>
  <c r="Z9" i="1"/>
  <c r="AB9" i="1"/>
  <c r="U203" i="1"/>
  <c r="AA203" i="1"/>
  <c r="Z43" i="1"/>
  <c r="AB43" i="1"/>
  <c r="U39" i="1"/>
  <c r="AA39" i="1"/>
  <c r="Z158" i="1"/>
  <c r="AB158" i="1"/>
  <c r="AA27" i="1"/>
  <c r="U790" i="1"/>
  <c r="AA790" i="1"/>
  <c r="AB778" i="1"/>
  <c r="Z778" i="1"/>
  <c r="AA702" i="1"/>
  <c r="U702" i="1"/>
  <c r="AA651" i="1"/>
  <c r="AB579" i="1"/>
  <c r="Z579" i="1"/>
  <c r="AA607" i="1"/>
  <c r="U607" i="1"/>
  <c r="AA539" i="1"/>
  <c r="U539" i="1"/>
  <c r="AB378" i="1"/>
  <c r="Z378" i="1"/>
  <c r="U293" i="1"/>
  <c r="AA293" i="1"/>
  <c r="H13" i="2"/>
  <c r="U70" i="1"/>
  <c r="AA70" i="1"/>
  <c r="Z164" i="1"/>
  <c r="AB164" i="1"/>
  <c r="Z17" i="1"/>
  <c r="AB17" i="1"/>
  <c r="AA59" i="1"/>
  <c r="U59" i="1"/>
  <c r="AB145" i="1"/>
  <c r="Z145" i="1"/>
  <c r="U33" i="1"/>
  <c r="AA33" i="1"/>
  <c r="AB776" i="1"/>
  <c r="Z776" i="1"/>
  <c r="AB627" i="1"/>
  <c r="Z627" i="1"/>
  <c r="Z570" i="1"/>
  <c r="AB570" i="1"/>
  <c r="Z602" i="1"/>
  <c r="AB602" i="1"/>
  <c r="AA675" i="1"/>
  <c r="U675" i="1"/>
  <c r="U489" i="1"/>
  <c r="AA489" i="1"/>
  <c r="AA366" i="1"/>
  <c r="U366" i="1"/>
  <c r="U388" i="1"/>
  <c r="AA388" i="1"/>
  <c r="AB364" i="1"/>
  <c r="Z364" i="1"/>
  <c r="Z285" i="1"/>
  <c r="AB285" i="1"/>
  <c r="AA188" i="1"/>
  <c r="U188" i="1"/>
  <c r="U734" i="1"/>
  <c r="AA734" i="1"/>
  <c r="C23" i="2"/>
  <c r="AA720" i="1"/>
  <c r="U720" i="1"/>
  <c r="Z746" i="1"/>
  <c r="AB746" i="1"/>
  <c r="AA687" i="1"/>
  <c r="U687" i="1"/>
  <c r="Z663" i="1"/>
  <c r="AB663" i="1"/>
  <c r="U637" i="1"/>
  <c r="AA637" i="1"/>
  <c r="AA671" i="1"/>
  <c r="U671" i="1"/>
  <c r="U688" i="1"/>
  <c r="AA688" i="1"/>
  <c r="AA681" i="1"/>
  <c r="U681" i="1"/>
  <c r="AA595" i="1"/>
  <c r="Z556" i="1"/>
  <c r="AB556" i="1"/>
  <c r="AB684" i="1"/>
  <c r="Z684" i="1"/>
  <c r="C31" i="2"/>
  <c r="AB792" i="1"/>
  <c r="Z792" i="1"/>
  <c r="AB791" i="1"/>
  <c r="Z791" i="1"/>
  <c r="AB760" i="1"/>
  <c r="AA760" i="1"/>
  <c r="Z760" i="1"/>
  <c r="AA721" i="1"/>
  <c r="U721" i="1"/>
  <c r="U784" i="1"/>
  <c r="AA784" i="1"/>
  <c r="AB737" i="1"/>
  <c r="Z737" i="1"/>
  <c r="AA747" i="1"/>
  <c r="U747" i="1"/>
  <c r="AB715" i="1"/>
  <c r="Z715" i="1"/>
  <c r="AA715" i="1"/>
  <c r="AA779" i="1"/>
  <c r="U779" i="1"/>
  <c r="U746" i="1"/>
  <c r="AA746" i="1"/>
  <c r="AA694" i="1"/>
  <c r="U694" i="1"/>
  <c r="AA683" i="1"/>
  <c r="U683" i="1"/>
  <c r="AA677" i="1"/>
  <c r="U677" i="1"/>
  <c r="U657" i="1"/>
  <c r="AA657" i="1"/>
  <c r="U593" i="1"/>
  <c r="AA593" i="1"/>
  <c r="AA705" i="1"/>
  <c r="U705" i="1"/>
  <c r="U653" i="1"/>
  <c r="AA653" i="1"/>
  <c r="AB637" i="1"/>
  <c r="Z637" i="1"/>
  <c r="AA623" i="1"/>
  <c r="U623" i="1"/>
  <c r="AA727" i="1"/>
  <c r="U727" i="1"/>
  <c r="AB681" i="1"/>
  <c r="Z681" i="1"/>
  <c r="AA635" i="1"/>
  <c r="U584" i="1"/>
  <c r="AA584" i="1"/>
  <c r="AB573" i="1"/>
  <c r="Z573" i="1"/>
  <c r="Z598" i="1"/>
  <c r="AB598" i="1"/>
  <c r="AA581" i="1"/>
  <c r="U563" i="1"/>
  <c r="AA563" i="1"/>
  <c r="U548" i="1"/>
  <c r="AA548" i="1"/>
  <c r="U622" i="1"/>
  <c r="AA622" i="1"/>
  <c r="AA606" i="1"/>
  <c r="U606" i="1"/>
  <c r="Z574" i="1"/>
  <c r="AB574" i="1"/>
  <c r="Z531" i="1"/>
  <c r="AB531" i="1"/>
  <c r="AB508" i="1"/>
  <c r="Z508" i="1"/>
  <c r="U476" i="1"/>
  <c r="AA476" i="1"/>
  <c r="AA546" i="1"/>
  <c r="U546" i="1"/>
  <c r="AB469" i="1"/>
  <c r="AA469" i="1"/>
  <c r="Z469" i="1"/>
  <c r="U483" i="1"/>
  <c r="AA483" i="1"/>
  <c r="AB521" i="1"/>
  <c r="Z521" i="1"/>
  <c r="U479" i="1"/>
  <c r="AA479" i="1"/>
  <c r="AB575" i="1"/>
  <c r="Z575" i="1"/>
  <c r="AB493" i="1"/>
  <c r="Z493" i="1"/>
  <c r="AA678" i="1"/>
  <c r="U678" i="1"/>
  <c r="U600" i="1"/>
  <c r="AA600" i="1"/>
  <c r="AB529" i="1"/>
  <c r="Z529" i="1"/>
  <c r="U549" i="1"/>
  <c r="AA549" i="1"/>
  <c r="AA458" i="1"/>
  <c r="U458" i="1"/>
  <c r="U420" i="1"/>
  <c r="AA420" i="1"/>
  <c r="AA455" i="1"/>
  <c r="U455" i="1"/>
  <c r="AB429" i="1"/>
  <c r="Z429" i="1"/>
  <c r="AA462" i="1"/>
  <c r="U462" i="1"/>
  <c r="AB473" i="1"/>
  <c r="Z473" i="1"/>
  <c r="AA407" i="1"/>
  <c r="U456" i="1"/>
  <c r="AA456" i="1"/>
  <c r="AA365" i="1"/>
  <c r="U365" i="1"/>
  <c r="Z362" i="1"/>
  <c r="AB362" i="1"/>
  <c r="AA315" i="1"/>
  <c r="U315" i="1"/>
  <c r="U437" i="1"/>
  <c r="AA437" i="1"/>
  <c r="AA367" i="1"/>
  <c r="U367" i="1"/>
  <c r="AB347" i="1"/>
  <c r="Z347" i="1"/>
  <c r="AB370" i="1"/>
  <c r="Z370" i="1"/>
  <c r="Z338" i="1"/>
  <c r="AB338" i="1"/>
  <c r="AB167" i="1"/>
  <c r="Z167" i="1"/>
  <c r="AA214" i="1"/>
  <c r="AB178" i="1"/>
  <c r="Z178" i="1"/>
  <c r="Z156" i="1"/>
  <c r="AB156" i="1"/>
  <c r="AB96" i="1"/>
  <c r="Z96" i="1"/>
  <c r="AB64" i="1"/>
  <c r="Z64" i="1"/>
  <c r="AA256" i="1"/>
  <c r="U256" i="1"/>
  <c r="U229" i="1"/>
  <c r="AA229" i="1"/>
  <c r="C24" i="2"/>
  <c r="AA95" i="1"/>
  <c r="U95" i="1"/>
  <c r="AA75" i="1"/>
  <c r="U75" i="1"/>
  <c r="AA208" i="1"/>
  <c r="U208" i="1"/>
  <c r="D19" i="2" s="1"/>
  <c r="Z140" i="1"/>
  <c r="AB140" i="1"/>
  <c r="U78" i="1"/>
  <c r="AA78" i="1"/>
  <c r="U130" i="1"/>
  <c r="D20" i="2" s="1"/>
  <c r="AA130" i="1"/>
  <c r="U211" i="1"/>
  <c r="AA211" i="1"/>
  <c r="AA106" i="1"/>
  <c r="U106" i="1"/>
  <c r="AB83" i="1"/>
  <c r="Z83" i="1"/>
  <c r="H16" i="2"/>
  <c r="U154" i="1"/>
  <c r="AA154" i="1"/>
  <c r="AA68" i="1"/>
  <c r="G5" i="2"/>
  <c r="Z6" i="1"/>
  <c r="AB6" i="1"/>
  <c r="Z23" i="1"/>
  <c r="AB23" i="1"/>
  <c r="AA155" i="1"/>
  <c r="Z19" i="1"/>
  <c r="AB19" i="1"/>
  <c r="C36" i="2"/>
  <c r="AA96" i="1"/>
  <c r="AB249" i="1"/>
  <c r="Z249" i="1"/>
  <c r="Z192" i="1"/>
  <c r="AB192" i="1"/>
  <c r="U37" i="1"/>
  <c r="AA37" i="1"/>
  <c r="AA152" i="1"/>
  <c r="Z39" i="1"/>
  <c r="AB39" i="1"/>
  <c r="U25" i="1"/>
  <c r="AA25" i="1"/>
  <c r="AA101" i="1"/>
  <c r="C38" i="2"/>
  <c r="H14" i="2"/>
  <c r="D22" i="2" l="1"/>
  <c r="D18" i="2"/>
  <c r="D33" i="2"/>
  <c r="D29" i="2"/>
  <c r="D30" i="2"/>
  <c r="D36" i="2"/>
  <c r="E51" i="2"/>
  <c r="B50" i="2"/>
  <c r="D48" i="2"/>
  <c r="B47" i="2"/>
  <c r="F43" i="2"/>
  <c r="E42" i="2"/>
  <c r="D51" i="2"/>
  <c r="F49" i="2"/>
  <c r="C48" i="2"/>
  <c r="F44" i="2"/>
  <c r="E43" i="2"/>
  <c r="D42" i="2"/>
  <c r="C51" i="2"/>
  <c r="E49" i="2"/>
  <c r="B48" i="2"/>
  <c r="F45" i="2"/>
  <c r="E44" i="2"/>
  <c r="D43" i="2"/>
  <c r="C42" i="2"/>
  <c r="F50" i="2"/>
  <c r="C49" i="2"/>
  <c r="F47" i="2"/>
  <c r="E46" i="2"/>
  <c r="D45" i="2"/>
  <c r="C44" i="2"/>
  <c r="B43" i="2"/>
  <c r="D50" i="2"/>
  <c r="F48" i="2"/>
  <c r="D47" i="2"/>
  <c r="C46" i="2"/>
  <c r="B45" i="2"/>
  <c r="F51" i="2"/>
  <c r="E47" i="2"/>
  <c r="B51" i="2"/>
  <c r="C47" i="2"/>
  <c r="E45" i="2"/>
  <c r="C43" i="2"/>
  <c r="E50" i="2"/>
  <c r="C45" i="2"/>
  <c r="C50" i="2"/>
  <c r="B49" i="2"/>
  <c r="D46" i="2"/>
  <c r="D44" i="2"/>
  <c r="B42" i="2"/>
  <c r="D49" i="2"/>
  <c r="F42" i="2"/>
  <c r="E48" i="2"/>
  <c r="B44" i="2"/>
  <c r="F46" i="2"/>
  <c r="B46" i="2"/>
  <c r="D34" i="2"/>
  <c r="B12" i="2"/>
  <c r="B10" i="2"/>
  <c r="E5" i="2"/>
  <c r="B11" i="2"/>
  <c r="D5" i="2"/>
  <c r="B13" i="2"/>
  <c r="C5" i="2"/>
  <c r="B5" i="2"/>
  <c r="D26" i="2"/>
  <c r="D31" i="2"/>
  <c r="C13" i="2"/>
  <c r="C11" i="2"/>
  <c r="D11" i="2" s="1"/>
  <c r="C12" i="2"/>
  <c r="D12" i="2" s="1"/>
  <c r="C10" i="2"/>
  <c r="D10" i="2" s="1"/>
  <c r="D1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5" authorId="0" shapeId="0" xr:uid="{00000000-0006-0000-0000-000001000000}">
      <text>
        <r>
          <rPr>
            <sz val="10"/>
            <color rgb="FF000000"/>
            <rFont val="Arial"/>
            <family val="2"/>
          </rPr>
          <t>'Public Health Emergency Response' added as a risk category to capture risks specific to outbreak/PHE preparedness, detection, and response work.</t>
        </r>
      </text>
    </comment>
    <comment ref="L5" authorId="0" shapeId="0" xr:uid="{00000000-0006-0000-0000-000002000000}">
      <text>
        <r>
          <rPr>
            <sz val="10"/>
            <rFont val="Arial"/>
            <family val="2"/>
          </rPr>
          <t>Inherent Risk Score = Likelihood Score (H) x Impact Score (J), assessed BEFORE the effect of mitigations, on a 1-25 scale.</t>
        </r>
      </text>
    </comment>
    <comment ref="U5" authorId="0" shapeId="0" xr:uid="{00000000-0006-0000-0000-000003000000}">
      <text>
        <r>
          <rPr>
            <sz val="10"/>
            <rFont val="Arial"/>
            <family val="2"/>
          </rPr>
          <t>Inherent Risk Rating = banding of the Inherent Risk Score (K): 1-4 Low, 5-9 Medium, 10-15 High, 16-25 Critical.</t>
        </r>
      </text>
    </comment>
    <comment ref="V5" authorId="0" shapeId="0" xr:uid="{00000000-0006-0000-0000-000004000000}">
      <text>
        <r>
          <rPr>
            <sz val="10"/>
            <rFont val="Arial"/>
            <family val="2"/>
          </rPr>
          <t>To be assessed by the Risk Owner / Africa CDC OIO based on the mitigation actions in column L. Left blank = 'Not Assessed', meaning residual risk currently equals inherent risk.</t>
        </r>
      </text>
    </comment>
    <comment ref="W5" authorId="0" shapeId="0" xr:uid="{00000000-0006-0000-0000-000005000000}">
      <text>
        <r>
          <rPr>
            <sz val="10"/>
            <rFont val="Arial"/>
            <family val="2"/>
          </rPr>
          <t>Residual Likelihood Score = Inherent Likelihood Score (H) reduced by a factor tied to Mitigation Effectiveness (U): Limited=-1, Partial=-2, Substantial=-3, Highly Effective=-4 (floor of 1). Assumption: preventive mitigations primarily reduce likelihood.</t>
        </r>
      </text>
    </comment>
    <comment ref="X5" authorId="0" shapeId="0" xr:uid="{00000000-0006-0000-0000-000006000000}">
      <text>
        <r>
          <rPr>
            <sz val="10"/>
            <rFont val="Arial"/>
            <family val="2"/>
          </rPr>
          <t>Residual Impact Score = Inherent Impact Score (J) reduced by half the same effectiveness factor (floor of 1). Assumption: controls typically reduce the chance of a risk occurring more than they reduce its consequence if it does occur.</t>
        </r>
      </text>
    </comment>
  </commentList>
</comments>
</file>

<file path=xl/sharedStrings.xml><?xml version="1.0" encoding="utf-8"?>
<sst xmlns="http://schemas.openxmlformats.org/spreadsheetml/2006/main" count="2853" uniqueCount="1240">
  <si>
    <t>Africa CDC Risk Management Register - 2026</t>
  </si>
  <si>
    <t>Business Unit</t>
  </si>
  <si>
    <t>Enterprise Risk Theme</t>
  </si>
  <si>
    <t xml:space="preserve">Risk Name </t>
  </si>
  <si>
    <t>Risk Consequence</t>
  </si>
  <si>
    <t>Root Causes</t>
  </si>
  <si>
    <t>Risk Type</t>
  </si>
  <si>
    <t>Likelihood (L) of Risk happening</t>
  </si>
  <si>
    <t>Score of Likelihood</t>
  </si>
  <si>
    <t>Impact (I) if Risk happens</t>
  </si>
  <si>
    <t>Score of Impact</t>
  </si>
  <si>
    <t>Inherent Risk Score</t>
  </si>
  <si>
    <t>Mitigation</t>
  </si>
  <si>
    <t>Management Response</t>
  </si>
  <si>
    <t>Timeline</t>
  </si>
  <si>
    <t>Status Update</t>
  </si>
  <si>
    <t>Responsible Owner</t>
  </si>
  <si>
    <t>Action Update</t>
  </si>
  <si>
    <t>Date of Update</t>
  </si>
  <si>
    <t>Status Update (colunm N) verified by Africa CDC OIO</t>
  </si>
  <si>
    <t>Inherent Risk Rating</t>
  </si>
  <si>
    <t>Mitigation Effectiveness (reviewer assessed)</t>
  </si>
  <si>
    <t>Residual Likelihood Score</t>
  </si>
  <si>
    <t>Residual Impact Score</t>
  </si>
  <si>
    <t>Residual Risk Score</t>
  </si>
  <si>
    <t>Residual Risk Rating</t>
  </si>
  <si>
    <t>Risk Movement (Inherent to Residual)</t>
  </si>
  <si>
    <t>Rank Helper (Residual, do not edit)</t>
  </si>
  <si>
    <t>PHC/CHSHP</t>
  </si>
  <si>
    <t>2. Workforce sustainability and institutional capability</t>
  </si>
  <si>
    <t>Short-term contracts for staff with a duration of less than a year and limited forecasting on the renewal plan</t>
  </si>
  <si>
    <t>If more than 75% of staff have contracts of less than 1 year, then the division faces serious operational disruptions, failure to implement planned activities and impacts on strategic growth of the organization</t>
  </si>
  <si>
    <t>1. An absence of comprehensive long-term staffing plan can lead to reliance on short-term contracts without clear renewal strategies. 
2. This may stem from project-based staff recruitments, 
3. Inadequate HR forecasting of staff needs
4. Short-term project-based programming, which is not sustainable 
5. Budget constraints, or a reactive approach to staffing needs that is not matched to the organizational structure.</t>
  </si>
  <si>
    <t>Operational</t>
  </si>
  <si>
    <t>Certain</t>
  </si>
  <si>
    <t>Critical</t>
  </si>
  <si>
    <t>1. Develop a comprehensive staffing plan that is mapped to available resources, with a clear renewal plan in place.
2. Provide fixed-term contracts with a one-year duration or longer-term contracts, to align with the assumption of duty 
3. Create a LOE mechanism across various grants to avoid reliance on the Staff Costs on one funding mechanism, or diversify funding options</t>
  </si>
  <si>
    <t>Open - Extended</t>
  </si>
  <si>
    <t>PHC Head of Division
HR
Senior Leadership</t>
  </si>
  <si>
    <t>1. Sustainable financing and resource mobilization</t>
  </si>
  <si>
    <t>Inadequate funding for programme implementation</t>
  </si>
  <si>
    <t>If the centre/division has inadequate funding for programme implementation, then the organisation will not be able to deliver on its mandate, thereby damaging the organisation's reputation</t>
  </si>
  <si>
    <t>1. Lack of comprehensive financial planning that accurately estimates the funding needed for the entire program lifecycle.
2. Ineffective proposal writing or failure to meet funding application requirements, resulting in unsuccessful grant applications.
3. Insufficient divisional or organizational budget due to competing priorities or budget cuts.
4. Poor forecasting or planning that underestimates the actual funding needs.
5. Dependence on unreliable or unpredictable funding sources such as grants.
6. Misallocation of funds or delays in disbursing available resources.
7. Over-reliance on a single funding stream makes the organization vulnerable to funding cuts</t>
  </si>
  <si>
    <t>Reputational</t>
  </si>
  <si>
    <t>Almost Certain</t>
  </si>
  <si>
    <t>1. Conduct thorough needs assessments and realistic budgeting, including implementing rolling forecasts to adapt to changing contexts. 
2. Diversify funding sources through strengthening partnerships, sponsorships, and relationships with a broader range of donors and stakeholders.
3. Improve financial management through regular financial monitoring and reporting to ensure efficient use of resources. Also, identify and eliminate waste or inefficiencies.
4. Build strong relationships to secure ongoing support
5. Ensure transparency and accountability to build trust with funders.
6. Leverage technology and innovation for effective use digital tools for efficient programme management and reporting</t>
  </si>
  <si>
    <t xml:space="preserve">PHC Center Director 
Head of Division
</t>
  </si>
  <si>
    <t>Loss of institutional memory and capacity</t>
  </si>
  <si>
    <t>If there are frequent resignations or attrition  of experienced personnel, coupled with an informal knowledge transfer mechanism and limited knowledge management practices, then there will be a loss of institutional memory, which may lead to inadequate productivity and increased operational costs</t>
  </si>
  <si>
    <t>1. Lack of effective staff retention strategies
2. Informal or nonexistent knowledge transfer protocols
3. Limited or poorly implemented knowledge management systems
4. Organizational culture that does not prioritize knowledge sharing</t>
  </si>
  <si>
    <t>Likely</t>
  </si>
  <si>
    <t>Major</t>
  </si>
  <si>
    <t>1. Promote a positive, inclusive, and engaging workplace culture.
2. Document roles, responsibilities, and critical knowledge during onboarding and exit interviews.
3. Implement Knowledge Management Systems such as centralized knowledge repositories like intranet, shared drives, or specialized knowledge management software to store institutional knowledge together with collaboration tools like SharePoint, for ongoing knowledge sharing.
4. Foster a culture of knowledge sharing to promote transparency and collaboration.</t>
  </si>
  <si>
    <t>PHC Centre Director
Head of Division</t>
  </si>
  <si>
    <t>4. Program execution and delivery</t>
  </si>
  <si>
    <t>Inadequate internal programmatic alignment to the overall PHC structure &amp; silo implementation</t>
  </si>
  <si>
    <t>If there is inadequate internal programmatic alignment with the overall PHC structure, then there will be duplication of efforts, verticalisation, and fragmentation of support to member states, which increases administrative costs and undermines the effectiveness of the PHC centre to demonstrate results towards achievement of the African Continental targets</t>
  </si>
  <si>
    <t xml:space="preserve">1. Lack of interdisciplinary teamwork and shared objectives
2. Divisions/ Units/ Teams operate in silo, with limited coordination, collaboration, integrated strategies  undermining the integrated PHC approach
</t>
  </si>
  <si>
    <t>Strategic</t>
  </si>
  <si>
    <t>1. Create a comprehensive strategic plan that clearly links all units’ activities to the overarching goals and targets
2. Joint Planning, Regular Meetings, Joint Reviews, Shared Platforms, and Reporting Systems to foster collaboration, transparency, coordination and accountability
3.  Regularly assess activities for overlaps, gaps, and alignment; use findings to adjust strategies and budgets that support integrated activities rather than fragmented efforts.</t>
  </si>
  <si>
    <t>PHC Centre Director</t>
  </si>
  <si>
    <t>3. Fiduciary stewardship and internal control</t>
  </si>
  <si>
    <t>Delays in disbursements of funds for the implementation of activities due to several approval levels and the absence of approval thresholds</t>
  </si>
  <si>
    <t>If there are delays in disbursement of funds, then there will be delayed implementation of planned activities which may result in failure to meet promised targets, leading to organizational reputation risk and reduced funding opportunities</t>
  </si>
  <si>
    <t>Multiple approval layers or hierarchical review stages that slow down the disbursement process due to a lack of clear delegation of authority, leading to delays in decision-making</t>
  </si>
  <si>
    <t>1. Establish a clear Delegation of Authority (DoA) Framework,clearly specifying approval limits based on transaction size and risk level. Map out who can approve what to reduce unnecessary layers. Document authority levels and ensure all parties understand their decision-making scope.
2. Strengthen Automated Workflow and Approval Systems for workflow routing of approval requests based on predefined DoA, and set automatic escalation protocols with real-time tracking for transparency and quick identification of approval delays
3. Set Key Performance Indicators (KPIs) and Accountability to track approval turnaround times and hold approvers accountable for unnecessary delays to foster responsibility
4. Enhance the existing Rapid-Approval Protocol for quick approval pathways of urgent disbursements to prevent reputational damage</t>
  </si>
  <si>
    <t>Senior Leadership</t>
  </si>
  <si>
    <t>Impact of ODA Cuts on community health initiatives on the African continent</t>
  </si>
  <si>
    <t>If recent geopolitical shifts and changing donor priorities continue, then it will lead to significant cuts in ODA allocated to health programs, this reduction results in decreased funding for community health initiatives.</t>
  </si>
  <si>
    <t>1. Changes in donor countries' political priorities or economic downturns can lead to reduced ODA budgets, including the diversion of funding away from health initiatives due to geopolitical conflicts.
2. Limited domestic resources and weak fiscal capacity in recipient countries make them heavily reliant on ODA for community health programs, which is compounded by a lack of sustainable financing mechanisms within member states.
3. Donor agencies often set priorities based on their strategic interests, which may not align with local health needs
4. Poor integration of community health services into national health systems, making programs vulnerable when external funding decreases.</t>
  </si>
  <si>
    <t>Contextual</t>
  </si>
  <si>
    <t>1. Encourage governments to increase domestic budget allocations for health, including innovative financing mechanisms like health taxes to fund CH initiatives
2. Continue advocacy on embedding community health initiatives into national health systems to ensure continuity regardless of external funding fluctuations and shift investment to local health workforce training, infrastructure, and supply chains to improve self-sufficiency
3. Diversify Funding Sources and Donor Engagement for funding from a variety of sources, including the private sector, philanthropic organizations, and regional bodies &amp; forster multi-stakeholder coordination, including rebranding the strategic approach</t>
  </si>
  <si>
    <t>PHC/IDDS</t>
  </si>
  <si>
    <t>5. Country, partner, and geopolitical context</t>
  </si>
  <si>
    <t xml:space="preserve">Member states become non-collaborative after Africa CDC shows no responses to their request for assistance    </t>
  </si>
  <si>
    <t>If the Division is not capable to respond to various requests outside of the donor mandated activities, then this could affect the credibilty of the organization with regard to his goal and commitment</t>
  </si>
  <si>
    <t>Insufficient resource mobilization
Insufficient workforce in the division</t>
  </si>
  <si>
    <t>Diversified and expanded resource mobilization to support long term implementation of integrated activities</t>
  </si>
  <si>
    <t>Center Director at PHC/ Human Resource vision</t>
  </si>
  <si>
    <t>Loss of operational continuity due to high staff turn-over</t>
  </si>
  <si>
    <t>if the division continues to rely on high staff turn-over, then this could affect continuity and efficacity of activities implementation</t>
  </si>
  <si>
    <t>Length process of recruitment, uncertainty of grant fund, and shift in financial resource</t>
  </si>
  <si>
    <t>Expanded resource mobilization 
Expedited recruitment process</t>
  </si>
  <si>
    <t>Center Director at PHC / Partnership at External Relations</t>
  </si>
  <si>
    <t>Difficult collaboration with other ACDC centers in order to share knowledge and ensure internal alignment on critical projects</t>
  </si>
  <si>
    <t>If the division continues to relay only on itself, then this could affect the quality, relevance and delays in delivering interventions</t>
  </si>
  <si>
    <t>Corporate culture
Lack of formal frameworks to foster inter-center collaboration</t>
  </si>
  <si>
    <t xml:space="preserve">Instaurer un cadre de collaboration continu inter-centres </t>
  </si>
  <si>
    <t>Center Director at PHC</t>
  </si>
  <si>
    <t>9. Emergency readiness, duty of care, and biosafety/biosecurity</t>
  </si>
  <si>
    <t xml:space="preserve">Unsafe pratices: technical staffs have to travel from headquarters with a lot of CASH to support activities in ME </t>
  </si>
  <si>
    <t>If the organization continues to relay of unsafe practices regarding finances, then this could impact it's safety staff and finances</t>
  </si>
  <si>
    <t>Limitation options due to complicated processes</t>
  </si>
  <si>
    <t>Relax procedures: involve RCCs or national coordinators in the management of financial flows or send money to the MOH.</t>
  </si>
  <si>
    <t>Finances</t>
  </si>
  <si>
    <t>SRMNCAH</t>
  </si>
  <si>
    <t>Short contract of staff</t>
  </si>
  <si>
    <t>Pause of programme activities</t>
  </si>
  <si>
    <t xml:space="preserve">Limited budget to cover staff cost </t>
  </si>
  <si>
    <t>Project</t>
  </si>
  <si>
    <t>SRNMCAH</t>
  </si>
  <si>
    <t>Priorities annual new activity delaly</t>
  </si>
  <si>
    <t xml:space="preserve">Slow progress on the implementation of RMNH unit  annual priorities </t>
  </si>
  <si>
    <t>No funding to fund activities</t>
  </si>
  <si>
    <t>Non-alignment of the different units of the division</t>
  </si>
  <si>
    <t xml:space="preserve">PHC/NCDIMH
</t>
  </si>
  <si>
    <t>Inadequate staff to effectively deliver on division goal</t>
  </si>
  <si>
    <t xml:space="preserve">need for additional staff to cover the prgrammes and projects delivered by the division </t>
  </si>
  <si>
    <t>Possible</t>
  </si>
  <si>
    <t>Minor</t>
  </si>
  <si>
    <t>Resource mobilization to meet staff costs and advocate for Member States Funding</t>
  </si>
  <si>
    <t xml:space="preserve">Short-term contract for recruited staff </t>
  </si>
  <si>
    <t xml:space="preserve">If majority of staff have short term contracts of less than 2 years, then the division faces operational challenges leading to disturbances in implementation of  planned activities and impacts on the organizational mandate. </t>
  </si>
  <si>
    <t xml:space="preserve">Limited budget to cover staff cost and budgets being avaialbel on annual basis. </t>
  </si>
  <si>
    <t>To negotiate for long-term staff contracts according to funding availability and have extended grants</t>
  </si>
  <si>
    <t>PHC Centre Director, HR Director and Director of Strategic Operation</t>
  </si>
  <si>
    <t>Misalignment between the NCDIMH division and other divisions under PHC</t>
  </si>
  <si>
    <t>If there is inadequate internal alignment with the overall PHC structure, then there will be duplication of efforts, verticalisation, and fragmentation of support to member states and the succefull implentation of programmes which increases administrative costs, indicate silo working ethic and undermines the effectiveness of the PHC centre .</t>
  </si>
  <si>
    <t xml:space="preserve">1. Lack of interdisciplinary teamwork and shared objectives
2. Divisions/ Units/ Teams operate in isolation, with limited coordination or collaboration undermining the integrated PHC approach                 3. lack of technical meeting between divisions under PHC for aligning and do cross division support. </t>
  </si>
  <si>
    <t>Moderate</t>
  </si>
  <si>
    <t>Establish/Introducing weekly PHC technical meetings for Divisions to share updates and create Programmatic communication SOP.</t>
  </si>
  <si>
    <t>PHC Centre Director and Heads of Divisions</t>
  </si>
  <si>
    <t xml:space="preserve">Delayed implementation of division projects </t>
  </si>
  <si>
    <t>If there are continued delays in project related activities, which may result in delayed implementation of planned activities which may result in organizational project and reputational risk and public negative communication about programme</t>
  </si>
  <si>
    <t xml:space="preserve">1. Lack of  intercenter teamwork and  prioritization of activities
2. Delayed and non action on shared task and action points  regarding projects.                </t>
  </si>
  <si>
    <t>Improved Approval process and internal systems</t>
  </si>
  <si>
    <t>PHC Centre Director, other Center directors and Executive Office</t>
  </si>
  <si>
    <t>EPR</t>
  </si>
  <si>
    <t>Unstable contracts for 90% of the Division staff</t>
  </si>
  <si>
    <t>If the division continues to rely on more than 90% staff with unstable contract, then it faces a significant risk of operational disruption should the staff move away from Africa CDC.</t>
  </si>
  <si>
    <t>Lack of a diversified donor strategy – No structured plan to attract multiple donors for human resource funding.
Inadequate resource mobilization capacity – No dedicated team/personnel to develop and execute funding strategies.
Over-reliance on short-term project-based funding – Human resource costs are linked to time-bound donor projects.
Absence of institutional core funding – The organization lacks a core budget to support staff independently of external donors.
Weak donor relationship management – Insufficient engagement with other donors to expand the funding base.
Organizational culture focused on program delivery over sustainability – Emphasis on outputs without strategic planning for long-term viability.</t>
  </si>
  <si>
    <t>-Provide a long duration contract, at least one year. 
- Ensure inclusion of HR in each project during grant proposal discussion</t>
  </si>
  <si>
    <t>Organization wide, Head of division, HR, Partnership</t>
  </si>
  <si>
    <t>Inadequate knowledge &amp; awareness of  perceived written procedures for the Division operations</t>
  </si>
  <si>
    <t>If staff have limited knowledge or unawareness of SOPs that govern the day-to-day division operations, then it faces a significant risk of non-compliance and reputation</t>
  </si>
  <si>
    <t>Lack of Awareness and Resistance to Change: staff may not fully understand the importance of SOPs and how they contribute to consistency and efficiency and then prefer informal workflows and resist documentation, fearing rigid processes
Rapid Growth: The division has experienced rapid expansion since the period of Covid-19 (a lot initiatives, projects and processes have been introduced) and  may struggle to formalize the processes.
Limited Resources: Creating SOPs requires time, effort, and expertise, which may not be prioritized  due to resource constraints.
Over-Reliance on Individual Expertise: Preference to depend too much on the experience of key staff instead of formalizing best practices.
Lack of Leadership Support: Without top management driving the need for SOPs, staff may not see their necessity.</t>
  </si>
  <si>
    <t>- Organize regular mentorship (awareness creation) on internal procedures
- Put in place champions on some of routine operations (rwitting memo, reports…)</t>
  </si>
  <si>
    <t>Heads of units, EPR</t>
  </si>
  <si>
    <t>8. Integrity, compliance, and safeguarding</t>
  </si>
  <si>
    <t xml:space="preserve">Sexual Exploitation, Abuse and Harassment by Health emergency  Responders (staffs, AVoHC RRT) during deplpyment for Health Emergency Response.                          </t>
  </si>
  <si>
    <t xml:space="preserve">If Health Emergenccy Responders commit SEA, SH during deployment, Africa CDC faces a significate reputational risks.                                                                                                                                   </t>
  </si>
  <si>
    <t xml:space="preserve">Weak Enforcement of Policies: Gaps in implementation or enforcement of Africa CDC directives on SEAH prevention, may allow misconduct to persist.
Power Imbalances: AVoHC responders operate in vulnerable communities where individuals may even prompt the responders to these kind of practices
Cultural &amp; Social Norms: In some African regions, deeply ingrained gender inequalities may contribute to tolerance or underreporting of SEAH incidents
Reporting Mechanisms: Lack or limited access to safe reporting channels, preventing tthe victims from seeking justice.
Failure to Monitor &amp; Hold Perpetrators Accountable:  Weak oversight and insufficient disciplinary measures can create an environment where misconduct goes unchecked                                                    </t>
  </si>
  <si>
    <t>- Regular briefing on prevention of SEAH before deoloyment using WHO standars for example
-Systematically ensure all responders sign and adhere to a code that explicitly prohibits SEAH.
-Establish confidential mechanism for victims and witnesses to report misconduct safely.</t>
  </si>
  <si>
    <t>AVoHC Program lead, HR, Legal</t>
  </si>
  <si>
    <t xml:space="preserve">Insuficient fundings </t>
  </si>
  <si>
    <t>If the division does not have sufficient funds, if faces significant risk to not achieving the strategic goals/objectives</t>
  </si>
  <si>
    <t xml:space="preserve">Declining External Support: Official Development Assistance (ODA) to Africa has decreased by 70% in recent years, reducing financial resources for health security.
Limited Domestic Investment: Few African Union Member States meet the Abuja target of allocating 15% of national budgets to healthcare, leading to reliance on external donors, and therefore a lot of request for assistance during health emeregencies
Rising Health Emergencies: The continent continiouselly experiences  an increase in public health emergencies, stretching available funds
Lack of Sustainable Financing Models: Traditional funding mechanisms (mainly donors) are unpredictable, making it difficult to maintain consistent financial support.
</t>
  </si>
  <si>
    <t>-Ensure efficient management of existing funds using data driven allocation (prioritzation and integration)
- Mobilize more ressources based on strategic vision and clear goal and objectives
- At least have two or tree partners engaged and incoperated in our planning early enough (example ECDC, UK-HSA)</t>
  </si>
  <si>
    <t>Head of division, Head of units, Partnership</t>
  </si>
  <si>
    <t>Deployment of AVoHC responders to an outbreak without medical or insurance cover</t>
  </si>
  <si>
    <t>If AVoHC responder falls sick, gets infected by the disease they are responding to or even dies, this may expose Africa CDC to legal proceedures that may turnish the reputation of the organization</t>
  </si>
  <si>
    <t>-Reactive deployment operations: In fast-moving outbreaks, responders may be deployed quickly without completion of all administrative processes, including insurance arrangements.
- Short duration of deployment: Many insurance companies require a minimum contract period (often 12 months) for coverage, while AVoHC deployments typically last only three months. This mismatch makes it difficult to secure appropriate insurance plans for short-term responders.</t>
  </si>
  <si>
    <t>Public Health Emergency Response</t>
  </si>
  <si>
    <t>-Identify the mechanism for systematically provide health insurance before deployment
- Establish a stand-by framework agreement with health issurance</t>
  </si>
  <si>
    <t>AVoHC Program lead, HR</t>
  </si>
  <si>
    <t xml:space="preserve">Emergency Response in a complexe humanitarian context </t>
  </si>
  <si>
    <t>If Africa CDC deploys experts in a complex humanitarian setting where disease outbreaks are reported to provide live saving response activities, it can make it difficult for Africa CDC to have meaningful presence on the ground.</t>
  </si>
  <si>
    <t>-Limited/lack of collaboration with AUC Peace and Security department
-There is no Travel Security Information File for Africa CDC staff travelling to MS</t>
  </si>
  <si>
    <t>-Joint deployment with AUC Peace and security department
- Getting security clearence before deploying in humanitarian seeting</t>
  </si>
  <si>
    <t>PHEOC</t>
  </si>
  <si>
    <t>Cumbersome internal approval process and late response to MS requests</t>
  </si>
  <si>
    <t>If the division delays or fails to response timely of the request made by the MS or providing support especially during health emergencies, that crerate a lack of trust from the MS which in turn can cause a significant reputational risk</t>
  </si>
  <si>
    <t xml:space="preserve">-Change of priorities based on PHE occurency and dynamics
- Limited funds for emergency response interventions                                            - Delays in getting the timely internal approvals which cause unnecessary delays in responding to emergenciew
</t>
  </si>
  <si>
    <t>-Always make sure the availability of funds before any commitment of support to MS
- Increase funding for emergency response</t>
  </si>
  <si>
    <t>Executive Office, HoD, Heads of Units, Partnership division</t>
  </si>
  <si>
    <t>Lab</t>
  </si>
  <si>
    <t>Limited implementation of biosafety and biosecurity regulations across AU Member States</t>
  </si>
  <si>
    <t>Increased risk of accidental or intentional release of biological agents; reputational damage to Africa CDC; hindered regional preparedness.</t>
  </si>
  <si>
    <t>Lack of  political support from AU Member States.
Lack of technical assistance and resource mobilization for implementation.</t>
  </si>
  <si>
    <t>Promote harmonized regulatory frameworks.
Build capacity in biosafety/biosecurity at national levels.</t>
  </si>
  <si>
    <t>Africa CDC - Lab</t>
  </si>
  <si>
    <t>7. Data governance and management reporting</t>
  </si>
  <si>
    <t>Data sovereignty, security and sharing issues among Member States</t>
  </si>
  <si>
    <t>Delayed or fragmented genomic surveillance; ethical and legal disputes.</t>
  </si>
  <si>
    <t>lack of investment in the Member State I n terms of genomic infrastructure.</t>
  </si>
  <si>
    <t>Develop AU-wide data governance policies.
Promote ethical, legal and social frameworks.
Strengthen in-country capacity for data storage and analysis</t>
  </si>
  <si>
    <t>Inconsistent implementation of QMS in public health laboratories</t>
  </si>
  <si>
    <t>Poor laboratory results, accreditation delays, compromised public health interventions.</t>
  </si>
  <si>
    <t>lack of collaboration with regional accreditation bodies.
Limited financial resources for QMS roll-out.</t>
  </si>
  <si>
    <t>Scale up QMS mentorship programs.
Train auditors and assessors in ISO 15189 and ISO 17043
Institutionalize a regional External Quality Assessment scheme.</t>
  </si>
  <si>
    <t>Leadership gaps in national laboratory systems.</t>
  </si>
  <si>
    <t>Weak policy advocacy, fragmented coordination, and poor decision-making.</t>
  </si>
  <si>
    <t>Lack of funding for Africa CDC Lab Leadership fellowship program.
Limited engagement with Ministries of Health for talent retention.</t>
  </si>
  <si>
    <t>Expand the Africa CDC Laboratory Leadership Program.
Build a regional alumni platform for knowledge sharing.
Integrate leadership training in national workforce development plans.</t>
  </si>
  <si>
    <t>6. Procurement and supply chain resilience</t>
  </si>
  <si>
    <t>Dependence on external suppliers for diagnostics and reagents</t>
  </si>
  <si>
    <t>Stock-outs during emergencies; inequitable access across Member States</t>
  </si>
  <si>
    <t>Lack of Investment in diagnostic manufacturing hubs.
Limited policy support for pooled procurement.</t>
  </si>
  <si>
    <t>Promote local manufacturing of diagnostics.
Establish regional procurement platforms.
Develop buffer stock systems at national and regional levels.</t>
  </si>
  <si>
    <t>Inadequate capacity to serve as a reference facility for continent-wide diagnostics, research, and training.</t>
  </si>
  <si>
    <t>Delayed response during public health emergencies; diminished credibility; missed opportunities for quality benchmarking</t>
  </si>
  <si>
    <t>lack of capital investment in infrastructure and technology
Absence of Long-term staffing plans and operational budget</t>
  </si>
  <si>
    <t>Strengthen infrastructure and equipment at the Reference Laboratory.
Recruit and retain expert personnel.
Establish clear mandates and SOPs for emergency response, quality assurance, and research</t>
  </si>
  <si>
    <t>SDI</t>
  </si>
  <si>
    <t>Delayed response and activity adjustments by Member States</t>
  </si>
  <si>
    <t>The division relies on the flexibility of memberstates for the implementation of most of the planned surveillance  activities; if the Memberstate is not available, this disrupts implementation timelines and overall outcomes of the projects</t>
  </si>
  <si>
    <t xml:space="preserve">Lack of effective communication strategy between the Member States and Africa CDC
Delayed approval of funded workplans, which leads to delayed communication with the Member States
Long beuractratic administrative processes which lead to delayed comfirmations.
Conflicting priorities of the MemberStates.
</t>
  </si>
  <si>
    <t>1. Strengthen early engagement and communication via regional focal points; 
2. Develop proactive coordination mechanisms, and regular follow ups</t>
  </si>
  <si>
    <t>Head of Units
Head of Division
Technical staff</t>
  </si>
  <si>
    <t xml:space="preserve">Changing surveillance priorities of MS e.g routine program vs emergency response </t>
  </si>
  <si>
    <t>The surveillance priorities of the Member states keep changing during the implemantation year of Africa CDC. For example planned routine surveillance activites are often disrupted during outbreak/ emergency response. This in turn leads to data gaps, reduced program effectivenes and delayed detection</t>
  </si>
  <si>
    <t xml:space="preserve">Public health emergency events such as outbreaks requiring urgent attention.
Reallocation of limited resources 
Donor-driven priorities
Change of leadership with in the ministries responsible for health in MS
</t>
  </si>
  <si>
    <t xml:space="preserve">Developing flexible operational plans to always cater for emergencies
Advocate for integrated surveillance systems and employ a one health approach
Develop early warning systems for resource shifts
 </t>
  </si>
  <si>
    <t>Senior leadership
Head of Division
Head of Units</t>
  </si>
  <si>
    <t>Lack of Data sharing with MS</t>
  </si>
  <si>
    <t>Data sharing agreement has been an ongoing effort to secure MS commitment to share data regularly with Africa CDC, however the progress is slow</t>
  </si>
  <si>
    <t xml:space="preserve">Public health emergency events such as outbreaks are sensitive to share data for both political and economic reason
low confidence and trust to the Africa CDC systems for protection of the data
lack of visible support and investiment in the data systems of MS to ask for data sharing
tangeble insentive to MS for sharing their data
</t>
  </si>
  <si>
    <t>Senior leadership
Legal Division
Head of Division
Head of Units</t>
  </si>
  <si>
    <t>Limited workforce ;for a highly demanding Division mandate</t>
  </si>
  <si>
    <t>Limited workforce capacity may hinder the Division’s ability to deliver on its complex and growing mandate, causing delays, reduced quality, or missed strategic opportunities</t>
  </si>
  <si>
    <t>Budgetary constraints limiting hiring
Lengthy recruitment processes
Expansion of mandate without matching resource increases</t>
  </si>
  <si>
    <t>Advocate for increased staffing and budget allocations
Prioritize tasks based on needs assessment
Strengthen partnerships to support workload</t>
  </si>
  <si>
    <t xml:space="preserve">
Head of Division
HR
Senior Leadership
Head of Units</t>
  </si>
  <si>
    <t>Majority of the staff funded by one project donor</t>
  </si>
  <si>
    <t>the division continues to rely on a donor to fund majority  of its human resources, then it faces a significant risk of operational disruption should the donor reduce or withdraw funding affecting sustainability</t>
  </si>
  <si>
    <t>Absence of institutional core funding – The organization lacks a core budget to support staff independently of external donors.          
Over-reliance on short-term project-based funding – Human resource costs are linked to time-bound donor projects. 
Inadequate resource mobilization capacity – No dedicated team/personnel to develop and execute funding strategies.
Weak donor relationship management – Insufficient engagement with other donors to expand the funding base.
Organizational culture focused on program delivery over sustainability – Emphasis on outputs without strategic planning for long-term viability.</t>
  </si>
  <si>
    <t>1• Advocate for increased internal budget allocation from core funding or Member States to support key HR roles.
2• Proactively engage with multiple donors and international partners to broaden the funding base for HR.
3• Design a phased HR sustainability plan that outlines how positions will transition from donor-funded to institutionally funded.
4• Negotiate longer-term funding commitments with donors (e.g., 3–5 years) with renewal clauses.
5• Document key processes, SOPs, and knowledge from donor-funded staff in central systems.
6• Upskill locally funded or regular staff to gradually fill donor-funded roles.
• Create a contingency or reserve fund to cover staff costs temporarily in case of donor withdrawal.
• Include this risk in the division’s quarterly performance reviews and escalate changes to senior management.</t>
  </si>
  <si>
    <t>Senior Leadership
Head of Division
HR
Head of Units</t>
  </si>
  <si>
    <t xml:space="preserve">Fragmented disease surveillance platforms
 </t>
  </si>
  <si>
    <t>Fragmented disease surveillance platforms across programs (e.g., HIV, TB, malaria, outbreak surveillance) result in inefficiencies, duplication of efforts, poor data integration, and delayed detection and response</t>
  </si>
  <si>
    <t>Program-specific funding and reporting requirements
Lack of national interoperability standards
Weak governance and coordination
Limited ICT infrastructure or capacity</t>
  </si>
  <si>
    <t>Integrate and harmonize systems; align with health information exchange frameworks
Advocate for integrated funding streams
Build capacity for integrated data management</t>
  </si>
  <si>
    <t xml:space="preserve">
Head of Division
Senior Leadership
Head of Units</t>
  </si>
  <si>
    <t>Data Quality;  Underreporting and data inconsistency from MS</t>
  </si>
  <si>
    <t>Inconsistent and incomplete reporting of surveillance data by Member States leads to poor data quality, limiting effective analysis, decision-making, and timely response</t>
  </si>
  <si>
    <t>Weak health information systems
Limited capacity in data collection, analysis, and reporting
Lack of standardization in indicators and formats</t>
  </si>
  <si>
    <t xml:space="preserve">Standardize reporting templates
 Conduct periodic refresher training and system audits </t>
  </si>
  <si>
    <t xml:space="preserve">
Head of Division
Head of Units
Senior leadership
Technical staff</t>
  </si>
  <si>
    <t>PHAHM</t>
  </si>
  <si>
    <t>Achieving PAVM milestones faces significant risks related to infrastructure development, funding, technology transfer, regulatory alignment, and workforce capacity.</t>
  </si>
  <si>
    <t xml:space="preserve">Inability for Africa CDC to demonstrate results by 2025, 2030 and ultimately 2040 targets. </t>
  </si>
  <si>
    <t xml:space="preserve">1. Funding of Manufacturing Projects underway
2. Market 
3. Regulatory support - Achieving WHO PQ </t>
  </si>
  <si>
    <t>Through the mapping conducted by Africa CDC, in collaboration with CHAI and PATH, it was found 8 antigens are expected to secure WHO PQ and enter continental market between 2025 - 2030. Therefore, Africa CDC is working to see the 8 antigens to the finish line and promoting their uptake by AU Member States.</t>
  </si>
  <si>
    <t xml:space="preserve">PHAHM Team </t>
  </si>
  <si>
    <t xml:space="preserve">Lack of market for the African made vaccines </t>
  </si>
  <si>
    <t>Failure of Vaccine manufacturing initiative which will impact PAVM FFA targets of 60% by 2040</t>
  </si>
  <si>
    <t xml:space="preserve">Member states uptake </t>
  </si>
  <si>
    <t xml:space="preserve">Extensive engagements with Member States , sensitization and promoting African made vaccines </t>
  </si>
  <si>
    <t xml:space="preserve">Member states not procuring through the APPM </t>
  </si>
  <si>
    <t xml:space="preserve">Operationalization of the APPM delayed </t>
  </si>
  <si>
    <t xml:space="preserve">Lack of understanding, 
</t>
  </si>
  <si>
    <t xml:space="preserve">Engagement with Member states Sensitization of Manufacturers to supply the APPM and DFIs to invest in APPM </t>
  </si>
  <si>
    <t xml:space="preserve">Lack of adequate ressources to conduct all activities to support local manufacturing ecosystem </t>
  </si>
  <si>
    <t xml:space="preserve">Delay in procurement of Lab Equipments for African NRAs, thus hampering their regulatory functions </t>
  </si>
  <si>
    <t xml:space="preserve">Budget ceiling challenges + lack of appropriate ressources </t>
  </si>
  <si>
    <t>Financial</t>
  </si>
  <si>
    <t>Active ressource mobilization to support a maximum of NRAs</t>
  </si>
  <si>
    <t xml:space="preserve">Lack of Adequate HR at PHAHM </t>
  </si>
  <si>
    <t xml:space="preserve">
1.	Delay in implementation of Projects 
2.	Staff overwhelmed and unable to follow up on all tasks 
3.	 Quality of work 
4.	Strained Staff 
5.	Reputational damage internally and externally.
</t>
  </si>
  <si>
    <t xml:space="preserve">Lack of Funding </t>
  </si>
  <si>
    <t xml:space="preserve">1.	Develop an HR plan for PHAHM to take on additional responsabilities 
2.	Reaching out to partners for more support to hire more staff
3.	Establishing support system between Team members to mitigate ovewhelming 
</t>
  </si>
  <si>
    <t xml:space="preserve">PHAHM Team + Executive Office </t>
  </si>
  <si>
    <t xml:space="preserve">Lot of Initiatives on Local Manufacturing of health products in Africa </t>
  </si>
  <si>
    <t>1. Inaccurate reporting of results                                       2. Loss of credibility of the Agenda                                       3. Reputational risk with  donors.</t>
  </si>
  <si>
    <t xml:space="preserve">1. Inconsistency in targets                                          
2. Lack of coordination mechanism  </t>
  </si>
  <si>
    <t xml:space="preserve">Engagement with all stakeholders working on Health Products Manufacturing in Africa for alignements and collaboration </t>
  </si>
  <si>
    <t xml:space="preserve">Slow Approval processes of Activities </t>
  </si>
  <si>
    <t>Affect flexibility and rapidity to implement activities</t>
  </si>
  <si>
    <t>Internal delays and bottlenecks</t>
  </si>
  <si>
    <t xml:space="preserve">Early planning and Approvals of activities </t>
  </si>
  <si>
    <t>Quality of Products procured through the APPM</t>
  </si>
  <si>
    <t xml:space="preserve">AU Member states not trusting Africa CDC processes and potential harming patients who consumes the products </t>
  </si>
  <si>
    <t xml:space="preserve">Substandards of products </t>
  </si>
  <si>
    <t xml:space="preserve">Africa CDC is developing Quality Assurance Framework that will ensure that products procured through APPM are of High quality and standards </t>
  </si>
  <si>
    <t xml:space="preserve">PHAHM Team + DAC (Diagnostics) + Science Office </t>
  </si>
  <si>
    <t xml:space="preserve">Lack of political will and commitment from Member states to use the APPM for procurement of certain health products </t>
  </si>
  <si>
    <t xml:space="preserve">APPM fails to deliver on the core objectives of increasing access and affordability of medicines as well as promoting local manufacturing </t>
  </si>
  <si>
    <t>Country's law, Weak national commitment and competing priorities</t>
  </si>
  <si>
    <t>Advocacy at national level and political engagement through AU platforms</t>
  </si>
  <si>
    <t>PHAHM Team + RCC</t>
  </si>
  <si>
    <t>Limited data on tech transfer opportunities</t>
  </si>
  <si>
    <t xml:space="preserve">A less number of Technology Transfers, Less inovation </t>
  </si>
  <si>
    <t>Lack of centralized data repository on regional and global oportunities</t>
  </si>
  <si>
    <t>Establish tech transfer database, regularly update through proper coordinationation and coolaboartion</t>
  </si>
  <si>
    <t xml:space="preserve">PHAHM Team + Partners </t>
  </si>
  <si>
    <t>Science</t>
  </si>
  <si>
    <t>Limited collaboration with other Divisions, Directorates (such as PHAM, EPR etc), and AU bodies (like AUDA-NEPAD) can result in duplicated efforts, inefficient use of resources, and misaligned implementation of the division programs.</t>
  </si>
  <si>
    <t xml:space="preserve">Absence of a platform for each business unit to update other BU on the remit of their work as well updates across divisions/directorates/ organization which could facilitate joint planning leveraging each others' strength.
Lack of real-time Systems and Tools to track activities and resource allocation which makes visualisation of collaboration opportunities across units difficult
Isolated planning within divisions which should be guided by the strategic plan and a framework for aligning activities to organizational goals and adequate and coordinated resource allocation to reduce duplication of efforts
</t>
  </si>
  <si>
    <t>Duplication of workplans and country-level activities.​
​
Wastage of available resources (human, financial, and technical).​
​
Missed opportunities for cross-division or cross-agency collaboration.​
​
Confusion over roles and responsibilities among stakeholders.</t>
  </si>
  <si>
    <t>Develop channels for information sharing across divisions, directorates, and partner organizations e.g, shared internal dashboards​
Improve mechanisms to cascade key updates to internal teams.​
Conduct of regular joint update and planning meetings.​
Create formal collaborative agreements (e.g., MOUs, Joint Action Plans).​
Joint multi-year planning between business units, leveraging each other's capacity and resources</t>
  </si>
  <si>
    <t>Ag Director Science and Innovation
HODs within Science and Innovation</t>
  </si>
  <si>
    <t>Absence of signed data and material sharing agreements with Member States, essential research including clinical trials and safety studies for timely evidence-based decision making especially in emergency situations are hindered.</t>
  </si>
  <si>
    <t>Lack of robust advocacy on research as a key pillar to decision making
Lack of trust by Members States on the diligent use of their shared data.
Member States protecting the integrity of their reputation
Absence of institutional data sharing policy/framework. 
Legal or political delays in finalizing agreements.</t>
  </si>
  <si>
    <t>Delays in evidence based and timely decision making as well as in the development of effective health interventions and policies especially during emergencies. ​
​
Risks non-compliance with regulatory/ethical standards and undermines institutional credibility.</t>
  </si>
  <si>
    <t xml:space="preserve">Continuous engagement with Member States and building trust as well as secured data repositories that guarantees restricted access for decision making. 
Establish transparent collaborative platforms where data owners and users can engage on the use and re-use of existing and new data. 
Advocacy at different levels on the importance of making data available for aggregation and federated analysis of data for regional and continental decision making 
</t>
  </si>
  <si>
    <t xml:space="preserve">All senior management of Africa CDC
Africa CDC legal office 
</t>
  </si>
  <si>
    <t xml:space="preserve">Scope of intervention limited by available financial resources and even when resources are available, the budget ceiling restricts further access to resources during the year.
Multi-year planning with no alignment with multi-year expenditure leads to pause in activities especially in the first quarter which is not compatible with Africa CDC's remit. 
</t>
  </si>
  <si>
    <t xml:space="preserve">The financial management system of Africa CDC is likened to those of all other AU agencies though the mandate of Africa CDC acknowledges the particularity of its mission of Africa CDC which requires much but accountable flexibility especially in emergencies 
Reliance on short-term, restricted donor funding limits flexibility and threatens program sustainability.
Absence of dedicated personnel hinders strategic fundraising and diversification of funding sources
Lack of contingency or reserve funds reduces the organization’s ability to manage emergencies or funding gaps.
</t>
  </si>
  <si>
    <t>Limited capacity to respond to emerging public health issues​ 
Lack of flexibility in financial management creates delays in emergency response with a risk of Africa CDC loosing its credibility in the eyes of Member States. 
Risk of missing program targets and deliverables.​
Reduced impact of division’s initiatives​
Undermines the achievement of long-term strategic objectives.​
Creates uncertainty about staff continuity.</t>
  </si>
  <si>
    <t xml:space="preserve">Develop fundraising strategies  to coordinate resource mobilization efforts.​
There is a need for an African R&amp;D trust fund to support development of solutions to priority health problems to bypass reliance on donor determined R&amp;D
Regularly track and monitor relevant funding opportunities aligned with the division’s objectives.​
Prepare concept notes and proposals tailored to funding calls that align with the strategic objectives of the division.​
Maintain continuous communication between the fundraising lead and program teams to optimize proposal development and submission​
</t>
  </si>
  <si>
    <t xml:space="preserve">Ag Director Science and Innovation
HODs Science and Innovation
Everyone 
</t>
  </si>
  <si>
    <t>Failure to deliver timely, high- impact support may lead to loss of trust in Africa CDC’s mandate</t>
  </si>
  <si>
    <t xml:space="preserve">Lack of core funding: Inabilty to quickly mobilize resources to respond to health emergencies effectively per country expectations 
Limited in country presence to sufficiently  implement acativties and ensure policy uptake, integration and communicate country exepectations and manage stakeholders
Short term donor funding and staff contracts : Limits the ability to execute long-term objectives of the division.Uncertainity of staff presence may limit long-term plans and affect delivery timelines 
</t>
  </si>
  <si>
    <t>Lack of core funding may result in inability to meet country expectations for timely and effective emergency response and clinical trials for countermeasures ​
​Decreased engagement of Member States in Africa CDC-led initiatives.​
Loss of donor confidence in the institution’s ability to deliver and be responsive.</t>
  </si>
  <si>
    <t>Advocate for core funding to support sustained research and program activities and emergency response.​
Strengthen relationships with African scientists, researchers, NPHIs, and research centers.​
Enhance surveillance systems to detect emerging threats early and integrate emergency research into response plans.​
Strengthen RCCs and establish a deployable roster of experts to ensure effective activity implementation, policy uptake, country expectation alignment, and stakeholder management.​</t>
  </si>
  <si>
    <t>Emerging health threats, such as the increasing risk of malaria in Southern Africa, alongside a rising demand for evidence-based health interventions, highlight the critical need for research and innovation. If the division’s functions and scope are not effectively managed, this could result in delays in implementing planned activities.</t>
  </si>
  <si>
    <t xml:space="preserve">Lack of  sufficient resources to recruit project officers handle processes (e.g., ensure regular division meetings, tracking of work plan activities and associated budgets, procurement, approvals, travel and monitor budgets)
Expanding scope and demand with limited staff limits the project deliverable timelines of activities
</t>
  </si>
  <si>
    <t>Missed timelines and reduced program impact.​
Missed opportunities  to address health threats and minimise their impact.​
Loss of member states stakeholders and donor confidence.​
Reduced staff  productivity, leading to: Decreased focus on achieving key deliverables and Increased risk of errors and operational inefficiencies.</t>
  </si>
  <si>
    <t>Technical staff required to match the evolving  scope of the division.​
Recruit and/or support dedicated project officers to improve efficiency and enable focus on core functions.​
Train staff on project management tools to enhance planning, execution, and tracking.​
Regularly monitor work plan execution to ensure timely delivery of activities and outputs.​
Automate tracking tools and reporting systems to improve accuracy, reduce manual effort, and enable real-time progress monitoring.​</t>
  </si>
  <si>
    <t>Absence of a knowledge-sharing culture and over-reliance on reactive/emergency-based implementation limits organizational learning and sustainability</t>
  </si>
  <si>
    <t xml:space="preserve">Donor-driven priorities that favor short-term outputs over long-term outcomes
Organizational silos that hinder cross-functional collaboration
Lack of knretention and sharing processes across the organization
</t>
  </si>
  <si>
    <t xml:space="preserve">Projects often executed in crisis/emergency mode​
Limited time for documentation and post-implementation review​
Creates gaps between policy and practices </t>
  </si>
  <si>
    <t xml:space="preserve">Develop a structured knowledge management system.​
Include knowledge management as part of staff KPI 
</t>
  </si>
  <si>
    <t xml:space="preserve">HOD Knowledge Mangement </t>
  </si>
  <si>
    <t>The division’s work requires continuous stakeholder engagement to develop research priorities, frameworks, and validate policies and  implement research initiatives . Limited coordination during planning and implementation with technical divisions such as finance, HR, and procurement can result in significant implementation bottlenecks</t>
  </si>
  <si>
    <t>Limited coordination between technical divisions  (finance, HR, procurement).Planning meetings do not  include finance and procurement representatives who are key to implementation of activities</t>
  </si>
  <si>
    <t>Delays in procurement and implementation  will lead to an inability to meet activity timelines.​
Implementation hiccups could affect the quality of research results and undermine the reputation of the organisation</t>
  </si>
  <si>
    <t>Cross-functional meetings with other technical divisions during planning and implementation.​
Conduct quarterly training sessions to enhance staff knowledge and compliance.​
Perform periodic reviews to monitor progress and identify areas for improvement.</t>
  </si>
  <si>
    <t xml:space="preserve">Ag Director Science and Innovation
HODs Science and Innovation
</t>
  </si>
  <si>
    <t>If the division does not develop  SOPs, there's likely non-compliance with Africa CDC policies and inconsistent activity implementation.</t>
  </si>
  <si>
    <t xml:space="preserve">Lack of awareness and championing of Quality Management Systems and the function of SOPs in the organization that's reflected in the division
Limited time and resources and dedicated staff to analyse division processes and procedures to develop required SOPs
</t>
  </si>
  <si>
    <t>Inconsistency in quality outputs,​
Poor institutional memory especially when staff familiar with the organisational policies leave the organisation. ​
Poor onboarding for new staff due to lack of written procedures and risk of audit non-compliance</t>
  </si>
  <si>
    <t>Develop division-level SOPs to guide internal processes.​
Develop a divisional Quality Assurance Manual to outline policies and standards.​
Train and appoint Quality Focal Persons within the division to oversee compliance and continuous improvement.</t>
  </si>
  <si>
    <t>If the organization  does not recruit full-time staff in some divisions e.g, health system strengthening  delivery of objectives  will be compromised</t>
  </si>
  <si>
    <t xml:space="preserve">Limited core funding to support full-time staff positions, leading to reliance on  short-term hires
Lack of strategic workforce planning and human resource needs assessment
</t>
  </si>
  <si>
    <t xml:space="preserve">Reduced quality of work and disruption of activities  ​
limited capacity and advocacy for health systems research in MS​
Limits the ability to execute long-term objectives of the division. </t>
  </si>
  <si>
    <t>Align workforce planning with the organizational strategic plan to ensure long-term sustainability.​
Work with HR to budget and recruit long-term staff for key divisions</t>
  </si>
  <si>
    <t>Digital Health</t>
  </si>
  <si>
    <t xml:space="preserve">Software vulnerabilities </t>
  </si>
  <si>
    <t>Data breaches exposing sensitive health or patient data.​
System downtime, interrupting essential services.​
Loss of trust in digital health systems.</t>
  </si>
  <si>
    <t xml:space="preserve">Poor coding standards, use of unverified open-source software </t>
  </si>
  <si>
    <t>Enforce secure coding standards (e.g., OWASP guidelines)​
Regular code reviews and testing​
Security audits and penetration testing by experts​
Continuous integration pipelines to catch errors early​
Security training for developers​
Budget for tools (e.g., Snyk – code security – fix and find vulnerabilities in code) and external expertise​</t>
  </si>
  <si>
    <t>Africa CDC - Procurement/Finance</t>
  </si>
  <si>
    <t xml:space="preserve">Integration Issues </t>
  </si>
  <si>
    <t xml:space="preserve">Workflow disruption due to disconnected systems​
Inconsistent or duplicate records​
Reduced efficiency and frustration for users​
Delays in decision-making </t>
  </si>
  <si>
    <t xml:space="preserve">Lack of API standards, poor planning </t>
  </si>
  <si>
    <t>Consider API gateways to unify and secure communication between services.​
ERP system ​
Data Architects to standardize and structure data​
Internal digitisation coordination meetings/workshops ​</t>
  </si>
  <si>
    <t>Africa CDC - Finance</t>
  </si>
  <si>
    <t xml:space="preserve">Insufficient Testing &amp; QA </t>
  </si>
  <si>
    <t>System crashes or performance degradation​
Exploitation of security holes​
Reputational damage and reduced trust</t>
  </si>
  <si>
    <t xml:space="preserve">Time pressure, missing QA frameworks </t>
  </si>
  <si>
    <t>Implement robust testing​
Perform vulnerability scans and penetration testing​
Enforce pre-deployment checklist​
Budget for testing tools and security reviews​
Involve DHIS colleagues from Project start</t>
  </si>
  <si>
    <t>Africa CDC - Procurement</t>
  </si>
  <si>
    <t xml:space="preserve">Downtime and Reliability Failures </t>
  </si>
  <si>
    <t>Delayed responses ​
Loss of operational continuity</t>
  </si>
  <si>
    <t xml:space="preserve">Hardware failures, inadequate redundancy </t>
  </si>
  <si>
    <t>Establish high availability architecture with redundancy​
 Implement disaster recovery and backup plans​
Set up real-time monitoring and alerts​
 Regularly test failover procedures​</t>
  </si>
  <si>
    <t xml:space="preserve">Data Breaches &amp; Privacy Violations </t>
  </si>
  <si>
    <t xml:space="preserve">Data leakage exposing confidential information and violate privacy regulations​
Loss of stakeholder trust </t>
  </si>
  <si>
    <t xml:space="preserve">Weak authentication, poor encryption, misconfigured cloud systems, inadequate access controls, or misconfigured cloud services, </t>
  </si>
  <si>
    <t>Enforce access control policies ​
Conduct regular audits and security training​
Use Multi-Factor Authentication (MFA)</t>
  </si>
  <si>
    <t xml:space="preserve">Malware &amp; Ransomware Attacks </t>
  </si>
  <si>
    <t>Loss of sensitive data​
Service disruption​
Financial loss due to ransom payments​
Reputation damage</t>
  </si>
  <si>
    <t xml:space="preserve">Unpatched systems, weak endpoint protection </t>
  </si>
  <si>
    <t>Maintain regular, secure backups stored offline​
Conduct staff awareness training​
Patch systems and apps regularly​
incident response plan, backup infrastructure</t>
  </si>
  <si>
    <t xml:space="preserve">Weak Credential Management </t>
  </si>
  <si>
    <t>Unauthorized system access​
 Privilege abuse​
System manipulation ​
Data leaks or loss</t>
  </si>
  <si>
    <t xml:space="preserve">Lack of MFA, shared or reused credentials </t>
  </si>
  <si>
    <t xml:space="preserve">Enforce strong password policies ​
Implement  MFA for all systems​
Provide user training on credential security​
BitLockers </t>
  </si>
  <si>
    <t xml:space="preserve">Security Misconfigurations </t>
  </si>
  <si>
    <t>Data exposure, access by unauthorized users​
Regulatory compliance issues​
Increased attack surface</t>
  </si>
  <si>
    <t xml:space="preserve">Lack of security audits, human error </t>
  </si>
  <si>
    <t>Use security baselines and configuration templates​
Implement automated tools to detect and fix misconfigurations ​
Conduct regular configuration audits and penetration testing</t>
  </si>
  <si>
    <t xml:space="preserve">Non-Compliance with Data Laws </t>
  </si>
  <si>
    <t>Fines and legal action​
 Suspension of operations​
Loss of public trust and credibility​
Exclusion from partnerships or funding opportunities</t>
  </si>
  <si>
    <t xml:space="preserve">Unclear policies, lack of legal expertise </t>
  </si>
  <si>
    <t>Compliance</t>
  </si>
  <si>
    <t>Regularly train staff on data privacy regulations​
 Perform Data Protection Impact Assessments ​
 Working with Legal experts for compliance​</t>
  </si>
  <si>
    <t xml:space="preserve">Lack of Standardized Best Practices </t>
  </si>
  <si>
    <t>Security loopholes​
Audit failures​
Increased rework and technical debt​
Project delivery delays</t>
  </si>
  <si>
    <t xml:space="preserve">No secure SDLC framework, absence of standards like OWASP </t>
  </si>
  <si>
    <t>Develop and enforce SOPs and coding guidelines​
Conduct peer reviews and quality assurance checks​
 Internal documentation</t>
  </si>
  <si>
    <t xml:space="preserve">Limited Staff Capacity </t>
  </si>
  <si>
    <t>High error rates​
Slow implementations​
Increased system downtime​
Lack of fully functional Data Centre/CDR</t>
  </si>
  <si>
    <t xml:space="preserve">Limited training programs </t>
  </si>
  <si>
    <t>Recruit more qualified personnel or consider outsourcing​
Offer continuous training and mentoring​
Promote knowledge-sharing and cross-training​
Budget for recruitment and training​
Phaseout approach to Operationalization of Facilities</t>
  </si>
  <si>
    <t xml:space="preserve">Overreliance on Technology </t>
  </si>
  <si>
    <t>Service interruptions or paralysis during outages​
Inability to operate manually​
Delays in service delivery or decision-making</t>
  </si>
  <si>
    <t xml:space="preserve">No fallback processes </t>
  </si>
  <si>
    <t>Develop and test business continuity plans (BCPs) and manual fallback procedures​
 Conduct regular system health checks and failover testing​
Train staff on non-digital procedures​
 Backup infrastructure and offline tools</t>
  </si>
  <si>
    <t>Biased or unsafe recommendations from algorithms</t>
  </si>
  <si>
    <t xml:space="preserve"> Inequitable outcomes​
loss of trust</t>
  </si>
  <si>
    <t xml:space="preserve">raining data issues, lack of explainability </t>
  </si>
  <si>
    <t>Audit  models for fairness, accountability, and transparency​
Implement human-in-the-loop validation​</t>
  </si>
  <si>
    <t>Staff risk</t>
  </si>
  <si>
    <t>Compromise accuracy , security and reliability data​
Breaches or loss of sensitive data​
Regulatory violations​
Loss of trust</t>
  </si>
  <si>
    <t>nadequate staff training
Lack of awareness of policies and procedures
Human error due to carelessness or fatigue
Poor supervision and oversight
High workload or understaffing
Low motivation or job dissatisfaction
Absence of accountability mechanisms
Ineffective or overly complex systems
Lack of automation or error-checking tools
No incident reporting or learning process</t>
  </si>
  <si>
    <t>Training programs on data handling, system use, and security awareness​
Use data validation checks in systems to minimize input errors​
Implement audit trails and accountability controls</t>
  </si>
  <si>
    <t>Loss of Computing Equipment</t>
  </si>
  <si>
    <t>Data loss (unrecoverable files, disrupted operations).​
Delayed outbreak reporting (analysis interrupted).​
Financial costs (replacement, recovery).​
Breach of sensitive MS health data (if stolen) and reputational damage</t>
  </si>
  <si>
    <t xml:space="preserve">
Lack of asset tracking and inventory management
Failure to enforce equipment handling policies
Aging or outdated hardware with no replacement plan
Lack of insurance or backup equipment
Negligence or mishandling by staff
</t>
  </si>
  <si>
    <t>Physical Security: Locked storage, CCTV, and equipment tracking (e.g., RFID tags).​
Data Backups: Automated daily cloud backups + offline storage.​
 Maintenance: Regular hardware checks and IT support contracts.​
Insurance: Cover for theft/damage of critical equipment.​
BYOD Policy: Allow staff to use secured personal devices as backup.</t>
  </si>
  <si>
    <t>Non-Compliance with Disaster Recovery and Business Continuity Plan</t>
  </si>
  <si>
    <t>Prolonged outages​
Loss of critical data​
Delays in service restoration​
Ineffective disaster response​
Extended service downtime​
Loss of critical data or access</t>
  </si>
  <si>
    <t>Lack of awareness or training on the plan
Inadequate enforcement or oversight mechanisms
Outdated or poorly communicated procedures
Limited testing or simulation of the recovery plan</t>
  </si>
  <si>
    <t>Recovery infrastructure:Offsite backup recovery ​
Test and update recovery plans​
Refine the plan based on lessons from test outcomes​
Integrate DRP testing as part of the BCP process​</t>
  </si>
  <si>
    <t>Staff-Introduced Security Risks</t>
  </si>
  <si>
    <t>Unauthorized access to systems​
Malware/ransomware introduction​
Breach of sensitive data​
Reputational damage</t>
  </si>
  <si>
    <t>Lack of cybersecurity awareness and training
Absence of strict device and network access policies
Weak enforcement of acceptable use policies
Inadequate protection against phishing and social engineering attacks</t>
  </si>
  <si>
    <t>Implement strict device control policies​
Roll out cybersecurity training programs​
Circulate and enforce the Social Engineering Guideline​
Monitor and log all new device connections</t>
  </si>
  <si>
    <t>Lack of Information Security Certification</t>
  </si>
  <si>
    <t>Gaps in information security practices​
Decreased stakeholder confidence​
Difficulty in audit and regulatory reviews</t>
  </si>
  <si>
    <t>Limited organizational focus on compliance and standards
Insufficient budget or resources for certification processes
Lack of trained personnel to drive certification initiatives
Inadequate internal policies aligned with recognized standards</t>
  </si>
  <si>
    <t>Conduct ISO 27001 readiness assessment​
Align all security controls with ISO standards​
Allocate budget and assign ISO compliance team​
Begin formal certification process</t>
  </si>
  <si>
    <t xml:space="preserve">Absence of Cybersecurity Policies Aligned with Continental Framework
</t>
  </si>
  <si>
    <t>Lack of coordination between national and continental bodies
Limited awareness or adoption of the continental cybersecurity framework
Inadequate stakeholder engagement in policy development
Absence of dedicated teams or resources to localize and implement frameworks</t>
  </si>
  <si>
    <t>Lack of Cybersecurity Policies for the Healthcare Ecosystem</t>
  </si>
  <si>
    <t>Non-compliance with regional frameworks​
Unclear accountability</t>
  </si>
  <si>
    <t xml:space="preserve">Absence of national adaptation of continental cybersecurity frameworks
Limited technical capacity to develop sector-specific guidelines
Weak collaboration between health and cybersecurity authorities
Lack of prioritization of cybersecurity within the healthcare sector
</t>
  </si>
  <si>
    <t>Review the Continental Cybersecurity Framework​
Develop and implement health-specific cybersecurity policies​
Engage legal and health sector experts in policy drafting​
Disseminate and train staff on new policies</t>
  </si>
  <si>
    <t>eWaste Mismanagement</t>
  </si>
  <si>
    <t>Environmental pollution​
Health hazards​
Regulatory penalties​
Reputational damage</t>
  </si>
  <si>
    <t>Lack of clear eWaste management policies and procedures
Inadequate staff awareness on proper disposal practices
Absence of partnerships with certified eWaste disposal vendors
Weak enforcement of environmental compliance regulations</t>
  </si>
  <si>
    <t>Develop and enforce an eWaste Management and Safeguard Policy​
Partner with certified eWaste disposal service providers​
Raise awareness among staff on safe disposal practices​
Monitor and audit disposal processes regularly​
​</t>
  </si>
  <si>
    <t>Dependency on World Bank Funding for DHIS Activities</t>
  </si>
  <si>
    <t>Suspension or withdrawal of funding​
Disruption of DHIS activities​
Delays in implementation and reporting​
​</t>
  </si>
  <si>
    <t>Strict funding conditions tied to compliance and performance
Insufficient monitoring and reporting mechanisms
Lack of capacity to meet World Bank’s compliance requirements
Poor stakeholder coordination affecting project execution</t>
  </si>
  <si>
    <t>Ensure strict compliance with World Bank funding guidelines​
Maintain timely and transparent reporting​
Diversify funding sources for long-term sustainability​
​</t>
  </si>
  <si>
    <t>Data Integrity and Quality Issues</t>
  </si>
  <si>
    <t>Inaccurate data could result in misguided public health policies,delayed outbreak response​</t>
  </si>
  <si>
    <t>Inadequate data validation and verification processes
Insufficient staff training on data entry and management
Lack of standardized data collection procedures
Poor system controls and error detection mechanisms</t>
  </si>
  <si>
    <t>Adopt standardized protocols​
Data Validation tools​
Regular Audits</t>
  </si>
  <si>
    <t>nadequate Interoperability Frameworks</t>
  </si>
  <si>
    <t>Fragmented data systems​
Delayed or inaccurate surveillance reporting​
Inability to support cross-border health responses</t>
  </si>
  <si>
    <t>Lack of standardized protocols and data formats
Limited collaboration between national and regional stakeholders
Absence of governance structures to enforce interoperability standards</t>
  </si>
  <si>
    <t>Advocate for MS adoption of continental interoperability standards (e.g., OpenHIE, FHIR)​
Capacity building and technical support for interoperability</t>
  </si>
  <si>
    <t>Overdependence on Donor-Funded Infrastructure</t>
  </si>
  <si>
    <t>Sustainability risks post-project lifecycle​
Limited ownership and scalability​
Fragmented solutions across countries</t>
  </si>
  <si>
    <t>Limited domestic funding and resource allocation
Lack of sustainable maintenance and support plans
Insufficient capacity building for local ownership
Absence of long-term strategic planning beyond donor projects</t>
  </si>
  <si>
    <t>Promote domestic resource mobilization for DH investments​
Embed sustainability planning in project design</t>
  </si>
  <si>
    <t>Data Sovereignty and Governance Concerns</t>
  </si>
  <si>
    <t>Hesitation from countries to share critical health data​
Delays in regional health monitoring and alerts​
Political friction around hosting and access</t>
  </si>
  <si>
    <t>Ambiguous or outdated data protection laws
Lack of clear policies on data ownership and control
Insufficient enforcement of data governance frameworks
Use of foreign cloud services without local jurisdiction safeguards</t>
  </si>
  <si>
    <t>Establish data governance frameworks with Member States​
Develop shared protocols for data anonymization and aggregation​
Ensure transparency and respect for national data laws</t>
  </si>
  <si>
    <t>cybersecurity Vulnerabilities in Digital Platforms</t>
  </si>
  <si>
    <t>Unauthorized access to patient or public health data​
Compromise of critical national or regional systems​
Loss of trust in Africa CDC platforms</t>
  </si>
  <si>
    <t xml:space="preserve">Outdated or unpatched software and systems
Weak authentication and access controls
Insufficient security testing and vulnerability assessments
Lack of staff awareness and training on cybersecurity best practices
</t>
  </si>
  <si>
    <t>Regular penetration testing and audits​
Mandatory cybersecurity protocols for vendors​
Multi-factor authentication and data encryption​
Incident response plans and drills</t>
  </si>
  <si>
    <t>Lack or Delay of Policy and Regulatory Alignment at National Level</t>
  </si>
  <si>
    <t>Delay in implementing Africa CDC-supported solutions​
Duplication and inefficiencies​
Legal issues</t>
  </si>
  <si>
    <t xml:space="preserve">
Limited coordination among government agencies
Insufficient stakeholder engagement in the policy process
Lack of resources and expertise to update regulations timely</t>
  </si>
  <si>
    <t>Offer TA to update national DH strategies aligned with Africa CDC DTS</t>
  </si>
  <si>
    <t>Insufficient Digital Health Workforce Capacity</t>
  </si>
  <si>
    <t>Implementation delays​
Poor adoption and system misuse​
Reduced impact of digital interventions</t>
  </si>
  <si>
    <t>Limited training and education programs in digital health skills
Inadequate investment in workforce development
Lack of clear career paths and incentives for digital health roles</t>
  </si>
  <si>
    <t>Implement Digital Health Workforce Development Strategy​
Partner with academic institutions​
Expand eLearning platforms and certifications for digital health</t>
  </si>
  <si>
    <t>Finance</t>
  </si>
  <si>
    <t>There is a possibility that donor funds could be misappropriated, misused, or diverted—intentionally or inadvertently—towards purposes not aligned with donor agreements or, in extreme cases, to individuals or entities linked to terrorist financing.</t>
  </si>
  <si>
    <t>Reputational Damage-Severe loss of credibility and trust from donors, partners, and beneficiaries; potential suspension or termination of funding agreements.
Legal and Regulatory Sanctions-Exposure to investigations, legal actions, sanctions, and penalties under anti-terrorism and anti-money laundering laws
Financial Loss-Loss of current and future funding, recovery claims from donors, and financial penalties.
Operational Disruption-Suspension of program activities, freezing of accounts, and withdrawal of key implementing partners.
Strategic Impact-Long-term damage to institutional reputation, donor confidence, and the organization’s ability to deliver on its mandate.</t>
  </si>
  <si>
    <t>Weak Financial Controls	- Inadequate expenditure tracking, lack of segregation of duties, poor reconciliation and approval processes.
Insufficient Due Diligence-Failure to conduct proper vetting of partners, suppliers, and beneficiaries against anti-terrorism and sanctions lists.
Lack of Oversight-Weak monitoring and auditing of sub-grantees, inadequate internal audit coverage, and absence of compliance review mechanisms.
Poor Staff Awareness-Limited staff knowledge of donor regulations, anti-terrorism financing policies, and red flag indicators.
Third-Party Risks-Use of local implementing partners, cash-based interventions, or high-risk jurisdictions without proper control mechanisms.
Weak Governance and Accountability-Lack of enforcement of zero-tolerance policies for fraud, corruption, and terrorism financing.</t>
  </si>
  <si>
    <t>1. Financial Controls- Implement robust fund flow and expenditure authorization procedures.
- Ensure all payments are supported by verifiable documentation and approved by authorized signatories.
- Conduct periodic reconciliations and independent financial audits.
2. Partner &amp; Vendor Due Diligence- Screen all implementing partners, vendors, and grantees against UN, OFAC, and EU sanction lists.
- Require partners to complete anti-terrorism and anti-corruption certification before funding.
- Conduct field verification of beneficiaries and vendor legitimacy.
3. Compliance Oversight- Review financial transactions and grant management processes.
- Conduct routine compliance spot-checks and risk-based monitoring visits.
- Report and investigate any suspicious transactions immediately.
4. Capacity Strengthening- Provide mandatory training to staff and partners on donor compliance, AML/CFT (Anti-Money Laundering / Counter-Terrorism Financing) obligations, and ethical conduct.
- Circulate red flag indicators for fraud and terrorism financing.
5. Governance and Reporting	- Enforce zero-tolerance policy for fraud, corruption, and terrorism financing.
- Ensure whistleblower mechanisms are active and accessible.
- Require senior management to review quarterly compliance and audit reports.
6. Coordination with Donors and Regulators	- Maintain transparent reporting to donors on fund utilization.
- Engage with national authorities and financial intelligence units where necessary.
- Immediately report any suspected diversion or misuse to the donor and relevant authorities.</t>
  </si>
  <si>
    <t xml:space="preserve">Double payments </t>
  </si>
  <si>
    <t>Financial loss &amp; legal consequences.</t>
  </si>
  <si>
    <t>Lack of segregation of duties Negligence, poor oversight.</t>
  </si>
  <si>
    <t>Hiring dedicated staff for Account closure &amp; Reconciliation, staff training, and internal audits.</t>
  </si>
  <si>
    <t>Delayed Fund Disbursement</t>
  </si>
  <si>
    <t xml:space="preserve">Interruption of program activities, late project implementation, reputational risk and strained relationship with partners </t>
  </si>
  <si>
    <t>Donor delays, weak forecasting mechanisms.</t>
  </si>
  <si>
    <t>Timely approval for workplans,audits and constant follow-ups after mid-term reviews.</t>
  </si>
  <si>
    <t>Late Accounts closure and Bank Recociliation</t>
  </si>
  <si>
    <t>Loss of credibility, many audit queries, funding risks,Financial loss</t>
  </si>
  <si>
    <t xml:space="preserve">Lack of segregation of duties, shortage of staff, poor Oversight/ weak internal controls, insufficient trainings on IPSAS standards. </t>
  </si>
  <si>
    <t>Loss of Financial Documentation</t>
  </si>
  <si>
    <t>Inability to retrieve critical documents during audits, delayed reporting and difficulty in clearing outstanding reconciliation issues.</t>
  </si>
  <si>
    <t>Reliance on paper-based filing systems, inadequate archiving procedures, poor physical storage conditions, and lack of digitization.</t>
  </si>
  <si>
    <t xml:space="preserve">Ongoing digitization of records. Introduce  cloud-based platforms for digitalisation, staff training on electronic records management, and improved physical filing systems and system flow (for documents) </t>
  </si>
  <si>
    <t>Mismatch between AMERT and SAP Programme Activities</t>
  </si>
  <si>
    <t>- Misreporting of financial and program data- Reduced reliability of management and donor reports- Challenges in audit verification and accountability- Potential donor confidence erosion</t>
  </si>
  <si>
    <t>- Inconsistent data entry or coding between AMERT and SAP systems- Lack of real-time reconciliation or integration between systems- Inadequate coordination between finance and program teams- Manual updates leading to errors</t>
  </si>
  <si>
    <t>- Establish regular reconciliation between AMERT and SAP (monthly/quarterly)- Strengthen system integration and automated data exchange- Conduct joint reviews between finance and program teams- Provide training on accurate coding and reporting procedures</t>
  </si>
  <si>
    <t xml:space="preserve">Non-Compliance with AU Revised Staff Regulations and Rules. </t>
  </si>
  <si>
    <t>- Audit queries and reputational damage- Possible financial loss due to irregular payments or appointments- Disciplinary actions against staff- Institutional credibility risk</t>
  </si>
  <si>
    <t>- Limited awareness or understanding of AU rules- Inadequate oversight and monitoring by HR and Finance- Pressure to expedite recruitment or payment processes- Weak internal controls and segregation of duties</t>
  </si>
  <si>
    <t>- Regular refresher training on AU Staff Rules and Regulations- Strengthen internal controls and approvals- Periodic compliance reviews by OIO/Internal Audit- Establish a compliance checklist for all HR and Finance actions</t>
  </si>
  <si>
    <t xml:space="preserve">Discrepancy in Travel Ticket Expenses Due to Non-Compliance with Procurement Procedures. </t>
  </si>
  <si>
    <t>- Financial loss due to overpayment or inflated prices- Audit findings and potential sanctions- Damage to institutional integrity- Reduced funds available for other priorities</t>
  </si>
  <si>
    <t>- Booking travel outside approved vendor or framework agreements- Last-minute travel requests bypassing procurement process- Lack of clarity on applicable rates and entitlements- Weak review of supporting documentation</t>
  </si>
  <si>
    <t>- Enforce strict adherence to travel and procurement procedures- Require procurement pre-approval for all travel- Regularly review vendor performance and price lists- Conduct periodic audits of travel-related expenses</t>
  </si>
  <si>
    <t xml:space="preserve">Payment exceeding approved amount </t>
  </si>
  <si>
    <t>- Financial loss and potential misuse of funds- Audit findings and reputational damage- Strained donor relations- Reduced operational efficiency</t>
  </si>
  <si>
    <t>- Errors in invoice verification or approval- Lack of budgetary controls or system validation- Inadequate review of payment documentation- Pressure to expedite disbursements</t>
  </si>
  <si>
    <t>- Implement system-based controls to flag payments exceeding approvals- Strengthen multi-level verification and approval workflows- Regular reconciliation of commitments and disbursements- Continuous staff training on financial controls</t>
  </si>
  <si>
    <t xml:space="preserve">Vacant staff positions as per approved structure </t>
  </si>
  <si>
    <t>🔴 1. Disruption of Operations
A sudden loss of staff (up to 90%) would severely disrupt the division’s ability to carry out its programs and activities.
Key functions, such as coordination, reporting, and stakeholder engagement, could come to a halt.
🔴 2. Loss of Institutional Knowledge and Expertise
Departing staff may take with them critical institutional memory, technical skills, and programmatic know-how.
Rebuilding this capacity could take significant time and resources.
🔴 3. Reduced Program Effectiveness and Impact
With fewer staff, the quality and reach of services, technical assistance, and initiatives may decline.
Performance targets and strategic objectives may not be met.
🔴 4. Reputational Damage
Stakeholders and partners may perceive the division as unstable or poorly managed.
This could diminish trust and deter future collaboration or investment from other donors.
🔴 5. Decreased Staff Morale and Retention
Remaining staff may experience burnout from increased workloads or fear job insecurity.
This can lead to further attrition and difficulty in attracting new talent.
🔴 6. Compromised Donor Relations
If deliverables are not met due to staff losses, the relationship with the primary donor may also deteriorate.
This could result in additional funding cuts or stricter conditions.
🔴 7. Inability to Sustain Long-Term Strategic Goals
Strategic initiatives and long-term projects may be paused or abandoned.
This threatens the division’s overall mission and ability to contribute to the broader organizational mandate and leads to reduced operational efficiency and output, overburdening of existing staff, delays in program and financial execution and risk of non-compliance due to understaffing</t>
  </si>
  <si>
    <t>Lack of a diversified donor strategy – No structured plan to attract multiple donors for human resource funding.
Inadequate resource mobilization capacity – No dedicated team/personnel to develop and execute funding strategies.
Over-reliance on short-term project-based funding – Human resource costs are linked to time-bound donor projects.
Absence of institutional core funding – The organization lacks a core budget to support staff independently of external donors.
Weak donor relationship management – Insufficient engagement with other donors to expand the funding base.
Organizational culture focused on program delivery over sustainability – Emphasis on outputs without strategic planning for long-term viability.</t>
  </si>
  <si>
    <t>1• Proactively engage with multiple donors and international partners to broaden the funding base for HR.
2• Advocate for increased internal budget allocation from core funding or Member States to support key HR roles.
3• Design a phased HR sustainability plan that outlines how positions will transition from donor-funded to institutionally funded.
4• Negotiate longer-term funding commitments with donors (e.g., 3–5 years) with renewal clauses.
5• Document key processes, SOPs, and knowledge from donor-funded staff in central systems.
6• Upskill locally funded or regular staff to gradually fill donor-funded roles.
• Create a contingency or reserve fund to cover staff costs temporarily in case of donor withdrawal.
• Include this risk in the division’s quarterly performance reviews and escalate changes to senior management.- Develop and monitor a recruitment plan aligned with approved structure- Fast-track critical recruitments with HR and AU Commission- Implement staff retention and motivation measures- Conduct regular HR status reviews to identify and address gaps early</t>
  </si>
  <si>
    <t>Supply Chain/ Procurement</t>
  </si>
  <si>
    <t>Inadequate Funding and Resources</t>
  </si>
  <si>
    <t>If financial resources fall short, then key supply chain projects (like digital systems, warehousing, and stockpiles) including staff retention will be delayed or scaled back, and the strategic plan’s initiatives may not be fully sustained or realized. This could lead to continued stockouts and gaps during health emergencies, erosion of stakeholder confidence, and failure to strengthen Africa’s health supply chain resiliency.</t>
  </si>
  <si>
    <t>Limited budget allocations from member states; heavy reliance on a narrow donor base; lack of diversified funding mechanisms; competing health priorities reducing available funds.</t>
  </si>
  <si>
    <t>Develop a short-term resource mobilization plan aligned with Africa CDC’s Strategic Plan (Enabler C) and the Supply Chain Strategy (Strategic Priority 6) to identify immediate funding gaps and engage key donors 
Strengthen engagement with traditional donors (e.g., Global Fund, BMGF, GAVI) through joint planning, visibility reporting, and highlighting impact stories of Africa CDC’s supply chain work including presentation of Africa CDC supply chain framework and strategy through a stakeholders meeting
Increase advocacy efforts showcasing the strategic importance of investing in resilient supply chains (linked to Strategic Goal 3 and 6 of Africa CDC’s Strategic Plan)
Support AU Member States in incorporating supply chain-related activities into national health budgets and emergency response frameworks, reducing overdependence on external funding</t>
  </si>
  <si>
    <t>Sub-optimal Institutional Capacity and Technical Expertise</t>
  </si>
  <si>
    <t>If institutional capacity and expertise remain insufficient, then new supply chain systems (for example, digital platforms or advanced warehousing techniques) might not be properly adopted or managed. This could result in poor execution of supply chain programs, slower emergency response times, and continued reliance on external technical support. In the long run, the Division’s goals for self-sufficiency and a robust regional supply chain workforce would not be achieved, undermining the strategy’s sustainability.</t>
  </si>
  <si>
    <t>Limited training programs and opportunities in supply chain management; “brain drain” (difficulty retaining skilled personnel); gaps in technical knowledge for specialized areas (e.g. cold chain logistics, data analytics); an insufficient pool of supply chain experts to meet the continent’s needs.</t>
  </si>
  <si>
    <t>FInalize the Africa CDC Supply Chain Competency Framework
Conduct a comprehensive training needs assessment to identify skill gaps in key functional areas such as procurement, warehousing, customs clearance, and digital supply chain systems.
Roll out continuous professional development (CPD) programs including targeted short courses, mentorships, and on-the-job training aligned with identified gaps
Leverage technical support from strategic partners (e.g., WHO, UNICEF, WFP) to provide interim expertise while internal capacity is developed
Collaborate with academic and training institutions to embed public health supply chain curricula in universities and offer joint certifications with Africa CDC staff.</t>
  </si>
  <si>
    <t>Disruptions in Global and Regional Supply Chains</t>
  </si>
  <si>
    <t>If a significant supply chain disruption occurs (for example, a global pandemic causing export bans or a conflict halting transport), then African Union member states could face critical shortages and delays in obtaining essential medical supplies. This would impair the response to health emergencies, with hospitals running out of vital items, vaccination campaigns stalling, and lives put at risk due to stockouts. In economic terms, emergency procurement costs could skyrocket, straining already limited health budgets.</t>
  </si>
  <si>
    <t>High dependency on global supply networks for essential commodities; unpredictable external shocks (emerging pandemics, extreme weather events, conflicts) that interrupt production or logistics; limited diversity of suppliers or routes; inadequate early warning and contingency planning for supply interruptions.</t>
  </si>
  <si>
    <t xml:space="preserve">
Establish framework agreements with multiple  suppliers and freight forwarders, ensuring multimodal (air, sea, road) flexibility.                 Expand partnerships with UN agencies (e.g., WFP, UNICEF, WHO) for shared use of emergency transport and stock reserves
Support pooled procurement initiatives for high-priority health products to shorten supply lead times
Leverage real-time logistics tracking platforms  to improve visibility and agility during emergencies
Conduct risk scenario mapping and develop corridor-specific business continuity plans (BCPs)
Establish regional and national strategic stockpiles of essential commodities
Build and strengthen regional manufacturing capacity with partners such as AUDA-NEPAD, AMA, AFCTA
Develop and implement multi-sourcing strategies to minimize dependency on single suppliers or geographies
Strengthen early warning systems and integrate supply chain intelligence into Africa CDC’s visibility platforms
Conduct regular supply chain stress-testing and simulation exercises with AU Member States to assess and enhance resilience</t>
  </si>
  <si>
    <t>Lack of Reliable and Timely Data for Decision-Making</t>
  </si>
  <si>
    <t xml:space="preserve">If data on inventory levels, consumption, and supply disruptions remain unreliable or delayed, then decision-makers will struggle to accurately plan procurement and distribution, leading to situations like sending supplies to the wrong locations or failing to pre-position stock before emergencies. In effect, the supply chain would be driven by guesswork rather than evidence – for example, if disease outbreak data is not integrated, vaccine deliveries might arrive too late or in insufficient quantities, exacerbating the public health impact. </t>
  </si>
  <si>
    <t>Fragmented or siloed data systems among countries; lack of a centralized data platform; limited data-sharing agreements between stakeholders; poor data quality and validation processes; low adoption of digital reporting tools at the local level.</t>
  </si>
  <si>
    <t>Develop and implement an Africa CDC Digital Supply Chain Visibility Platform for real-time reporting on stock levels, shipments, and consumption across member states
Work with relevant DIvision to engage with stakeholders and Member States to sign data-sharing agreements aligned with Africa CDC data protection and use policies
Provide technical assistance and training on digital data tools and analytics to HQ Staff, country/MS focal points and RCC teams
Integrate supply chain data management KPIs into Africa CDC performance monitoring frameworks</t>
  </si>
  <si>
    <t>Insufficient Coordination Among Member States and Stakeholders</t>
  </si>
  <si>
    <t>If stakeholders do not coordinate their supply chain activities, then Africa’s health supply chain will remain fragmented and inefficient, with duplication of efforts, uneven distribution of supplies, and wasted resources. For example, during a disease outbreak, uncoordinated responses could lead to some regions receiving surplus vaccines/MCMs while others face shortages. Additionally, best practices and data may not be shared, causing each country to “reinvent the wheel” rather than learn from one another, ultimately slowing improvements in pandemic preparedness.</t>
  </si>
  <si>
    <t>Lack of clear communication channels or forums for coordination; limited established mechanisms for joint planning or information-sharing; unclear roles and responsibilities among organizations; competition or distrust between agencies and countries; absence of a central coordinating body or framework.</t>
  </si>
  <si>
    <t>Establish a Continental Supply Chain Coordination Platform under Africa CDC to serve as a centralized body facilitating communication, alignment, and joint decision-making among Member States, regional economic communities (RECs), UN agencies, donors, and implementing partners.
Promote cross-country learning through peer-to-peer exchange programs, regional supply chain forums e,g supply chain directors forum, and Africa CDC-led capacity-building workshops.
Create a shared digital collaboration portal (e.g., SharePoint, regional dashboards) for real-time updates on supply chain operations, needs, stock status, and initiatives.
Establish a Standing Regional Supply Chain Emergency Task Force that can be activated during public health emergencies for coordinated MCM deployment.
Conduct annual multi-country joint simulation exercises to test coordination frameworks and refine collaborative protocols.</t>
  </si>
  <si>
    <t>Fragmentation of Supply Chain Systems Across Countries</t>
  </si>
  <si>
    <t>If supply chain activities remain fragmented, then each country will continue to “go it alone,” leading to duplication of efforts, higher collective costs, and inconsistency in supply availability. For instance, one country might experience surplus vaccine wastage while a neighbor faces a shortage, simply because systems aren’t linked to redistribute supplies. Fragmentation also means that successful innovations or practices in one program may not be transferred to others, slowing overall improvement in Africa’s health supply chain performance.</t>
  </si>
  <si>
    <t>Historical siloed approaches to health programs; programs and donors working independently within countries; lack of interoperable systems and standards; limited incentives for countries to share resources or align procurement especially as Africa CDC move to implement the Africa pool procurement mechanism</t>
  </si>
  <si>
    <t xml:space="preserve">Complete the continental supply chain snapshot profile assesement to determine continental and Member states supply chain maturity 
Expedite operationalisation of the Africa CDC Pooled Procurement Mechanism 
Facilitate the development and deployment of interoperable supply chain data platforms that allow for shared inventory tracking, demand forecasting, and logistics planning across borders.
Promote bilateral and multilateral logistics coordination agreements (e.g., joint warehousing, shared distribution routes) among neighboring countries and RECs.
Establish a continental supply chain integration taskforce under Africa CDC to guide harmonization of standards, policies, and platforms.
Launch regional joint planning forums involving ministries of health, finance, customs, and logistics providers to align supply chain investments and operations.
Develop and support regional supply chain hubs capable of serving multiple countries with warehousing, prepositioning, and cold chain infrastructure.
Support policy harmonization across Member States for regulatory alignment in procurement, customs clearance, and emergency response logistics.
</t>
  </si>
  <si>
    <t>In Progress</t>
  </si>
  <si>
    <t>Inadequate Infrastructure (Warehousing, Cold Chain, and Logistics)</t>
  </si>
  <si>
    <t>If warehousing capacity remains low and cold chain equipment is lacking, then essential medicines and vaccines may not be stored or transported under proper conditions, leading to stockouts or unusable (spoiled) medical products. In practical terms, during a health crisis, supplies might pile up at central depots unable to reach peripheral clinics in time, or vaccines could arrive damaged due to broken cold chains. Routine health programs would also suffer, as inadequate storage and transport cause chronic delays in delivering supplies to hospitals and patients. Unavailability of central and regional warehouse for Africa CDC limits the ability to preposition stocks for emergencies.</t>
  </si>
  <si>
    <t>Historical underinvestment in health supply chain infrastructure; insufficient cold chain equipment for vaccines and temperature-sensitive goods; poor maintenance of existing warehouses or fleet; lack of regional and central continental warehouse for Africa CDC; geographic challenges (remote areas hard to reach); lack of capital for new infrastructure development; unreliable utilities (power for cold storage</t>
  </si>
  <si>
    <t xml:space="preserve">validate and finalise warehouse landscape analysis and Africa CDC warehouse strategy.
Establish regional and continental warehousing hubs for Africa CDC in strategic locations to support buffer stock management and faster deployment of emergency commodities.
Support procurement and deployment of solar-powered cold chain equipment in areas with unreliable power supply.
Integrate infrastructure resilience into national supply chain master plans, encouraging governments to adopt long-term investment strategies.
Promote a continental logistics network framework for harmonized movement and storage of medical commodities, ensuring interoperability across countries thorough the MEDFLOW Africa Project of the SUpply Chain Division
</t>
  </si>
  <si>
    <t>Late Submission of Travel Requests</t>
  </si>
  <si>
    <t xml:space="preserve">If travel requests are not submitted on time, then flights may become more expensive, impacting cost-efficiency and potentially leading to overspending. 
If preferred flights are unavailable, then field missions may be delayed or rescheduled, affecting delivery of technical assistance, field coordination, or emergency response timelines. </t>
  </si>
  <si>
    <t>Non Compliance of Travel Policy in relation to submission date, number of travel days etc.</t>
  </si>
  <si>
    <t xml:space="preserve">If policy non-compliance continues undetected, the institution may be subject to internal or external audit issues, incur excessive travel costs, or weaken its institutional accountability posture.
If manual systems persist, policy violations may become normalized, undermining AU-wide harmonization efforts.
</t>
  </si>
  <si>
    <t xml:space="preserve">Absence of SAP configuration to enforce the 21-day mission duration limit.
Manual travel request processes without digital policy checks.
Weak tracking and oversight of cumulative mission durations.
Limited awareness of the policy by planners or supervisors.
</t>
  </si>
  <si>
    <t xml:space="preserve">Develop IT tool to automatically enforce or flag violations of the travel duration policy. Include triggers that prevent approval of non compliant submissions  unless exempted categories apply.
Train administrative officers, HR, logistics planners, and program leads on the AU travel policy, with regular refreshers and job aids on compliance responsibilities.
Develop and disseminate simplified policy guidance documents to ensure wide staff awareness—highlighting allowable exceptions and consequences for violations.
Institutionalize travel audits as part of quarterly operational reviews, with findings shared with directors and unit heads.
</t>
  </si>
  <si>
    <t>Not Started</t>
  </si>
  <si>
    <t>Poor Supplier Performance and Contract Management</t>
  </si>
  <si>
    <t xml:space="preserve">If supplier issues are not addressed proactively, then repeated service failures may occur, affecting project timelines, increasing operational costs, leading to emergency procurement or supplier blacklisting, and ultimately damaging organizational credibility.  </t>
  </si>
  <si>
    <t>Establish a centralized supplier prequalification system, including due diligence criteria such as financial capacity, past performance, references, and technical capability.
Introduce detailed Service Level Agreements (SLAs) and Key Performance Indicators (KPIs) into procurement contracts to define acceptable service and delivery timelines.
Conduct regular supplier performance reviews (e.g., quarterly evaluations) and maintain a performance scorecard to inform future contracting decisions.
Develop a supplier grievance redress mechanism and escalation matrix to swiftly address disputes, delays, or contract breaches.
Include penalty clauses and incentives in contracts to reinforce compliance and reward superior performance.
Train procurement and contract management officers on vendor risk management, contract negotiation, and monitoring frameworks.
Digitize procurement processes, integrating supplier evaluation tools into e-procurement platforms for continuous monitoring and reporting.
Engage in vendor development programs to build the capacity of local/regional suppliers and reduce reliance on underperforming contractors.
Collaborate with other AU bodies, RECs, and donor agencies to share blacklists, preferred vendor lists, and procurement intelligence.</t>
  </si>
  <si>
    <t xml:space="preserve">Lengthy Procurement Process and Approval Delays </t>
  </si>
  <si>
    <t xml:space="preserve">If procurement actions are significantly delayed, then critical project timelines may be missed, emergency interventions may fail to launch on time, partner confidence may decline, and the Africa CDC credibility could suffer. </t>
  </si>
  <si>
    <t>Review and update the Standard Operating Procedures (SOPs) for procurement and approvals, detailing clear process flows, timeframes, and responsibilities.
Conduct a procurement process mapping and bottleneck analysis to identify and address redundant layers and approval delays.
Establish Long-Term Agreements (LTAs)/Framework Contracts with pre-qualified suppliers for commonly procured goods and services to reduce repetitive bidding cycles.
Review and streamline approval thresholds, delegating authority where appropriate to expedite lower-value procurement and operational purchases.
Introduce automated procurement workflow tools (within SAP or equivalent platforms) to enable real-time tracking, digital approvals, and audit trails.
Train procurement and program staff on efficient procurement planning, scheduling, and documentation to reduce rework and delays.
Embed procurement planning into annual workplans and budgets, ensuring timely requisition and alignment with program implementation schedules.
Integrate procurement risk management practices, including scenario planning for high-risk or urgent procurements.</t>
  </si>
  <si>
    <t xml:space="preserve">Delayed Payments to Suppliers </t>
  </si>
  <si>
    <t xml:space="preserve">If payments keep getting delayed, suppliers may lose trust and stop working with Africa CDC. This could lead to late delivery of important goods, the need to buy items urgently at higher prices, and possible legal issues because of delayed payment. </t>
  </si>
  <si>
    <t xml:space="preserve">Establish a supplier payment tracking dashboard integrated with SAP or equivalent ERP systems to monitor real-time payment statuses and flag overdue transactions.
Conduct an internal workflow audit of the end-to-end payment process to identify bottlenecks and areas causing delays (e.g., approval queues, documentation gaps, finance coordination).
Create a supplier grievance redress mechanism, where payment issues can be flagged and resolved in a time-bound manner.
Digitize the full procure-to-pay (P2P) process across all departments to eliminate manual documentation delays and improve transparency.
Introduce advance payment mechanisms (e.g., partial advance or milestone payments) in critical supply contracts to mitigate supplier cash flow risks.
</t>
  </si>
  <si>
    <t>Insufficient Procurement Manpower</t>
  </si>
  <si>
    <t xml:space="preserve">If manpower remains insufficient, then procurement cycles may be prolonged, strategic sourcing may suffer, and overall procurement compliance and efficiency may affect. This could result in service delivery delays, supplier dissatisfaction, and missed opportunities for value for money. </t>
  </si>
  <si>
    <t xml:space="preserve">Delayed Fund Disbursement </t>
  </si>
  <si>
    <t xml:space="preserve">If fund disbursements are delayed, then procurement timelines will be negatively impacted, leading to missed project milestones, strained supplier relationships, potential penalties, and disruptions in program implementation. Create pressure and negative impact on staff wellbeing. </t>
  </si>
  <si>
    <t>Implement a financial disbursement monitoring dashboard to track the status of fund requests, approvals, and releases in real time.
Establish fund release schedule alignment mechanisms between finance, procurement, and program teams to synchronize timelines and minimize delays.
Introduce pre-authorization arrangements or standing financial approvals for recurring and urgent programmatic needs to reduce administrative lags.
Set up quarterly cash flow forecasts and fund requirement plans to improve donor engagement and internal preparedness for upcoming disbursements.
Designate a fund disbursement liaison officer to facilitate prompt follow-up between program units, finance departments, and donor reporting units.
Automate internal approval workflows for fund disbursements using the Africa CDC ERP (SAP or equivalent) system to reduce manual bottlenecks.
Establish framework agreements with donors and partners to enable timely drawdowns and flexible fund utilization mechanisms for ongoing grants.
Develop risk-adjusted financial contingency plans, including buffer funding for priority interventions to bridge delays in disbursement cycles.
Institutionalize regular donor-finance-program joint planning sessions to increase visibility and trust, reducing disbursement friction and ensuring synchronized resource deployment.</t>
  </si>
  <si>
    <t xml:space="preserve">Delayed Initiation of Procurement by Technical Divisions </t>
  </si>
  <si>
    <t xml:space="preserve">If divisions fail to initiate procurement in line with the procurement plan, then: 
Planned activities may be delayed or canceled Emergency procurement may become necessary, increasing risk and cost 
Supplier relationships may be strained by last-minute requests. 
Rushing to procurement process may open a door for suppliers to take advantage over costs, quality, and delivery factors. 
Procurement office will be positioned in a poor position to influence procurement processes and secure the best value for money.  
Procurement may not be able to secure the advantage of Africa CDC and secure the best value for money.  
Organizational credibility and donor trust may be compromised </t>
  </si>
  <si>
    <t xml:space="preserve">Conduct regular training and sensitization sessions for technical divisions on procurement timelines, planning cycles, and standard operating procedures (SOPs).
Develop and disseminate a user-friendly procurement calendar that clearly outlines deadlines, lead times, and required submission windows by activity type.
Establish quarterly procurement planning meetings between the Procurement Unit and technical divisions to review progress against the approved plan and address bottlenecks.
Set up a digital notification and tracking system within SAP or equivalent tools to alert divisions when procurement initiation deadlines are approaching or overdue.
Develop procurement request templates and checklists that simplify initiation and reduce errors or back-and-forth during review.
</t>
  </si>
  <si>
    <t xml:space="preserve">Non-compliance with Procurement Policies and Procedures </t>
  </si>
  <si>
    <t xml:space="preserve">If there is non-compliance with Procurement Policies and Procedures then  there will be Financial Loss – Poor value for money, payment for substandard goods or services. 
Delay in supplier payment caused by failure to strictly follow established procurement policies and procedures.  
Reduced Stakeholder Trust – Partners, donors, etc in the procurement process. 
Risk of breaching donor or internal audit requirements </t>
  </si>
  <si>
    <t xml:space="preserve">Conduct mandatory procurement compliance training and refresher courses for all relevant staff, especially technical officers and project managers involved in initiating procurement.
Circulate simplified procurement process flowcharts and checklists that summarize key policies and steps for internal use and display them prominently within divisions.
Implement a procurement audit trail system to ensure traceability and accountability in procurement files, including version control and approvals.
conduct annual procurement-specific audits to ensure alignment with donor and AU requirements.
</t>
  </si>
  <si>
    <t xml:space="preserve">Incomplete or Poorly Defined Technical Specifications </t>
  </si>
  <si>
    <t>If there is  Incomplete or Poorly Defined Technical Specifications then there will be delayed procurement resulting in the acquisition of unsuitable items, leading to rework, wastage of resources, or project failure</t>
  </si>
  <si>
    <t xml:space="preserve">Develop and roll out standardized specification templates and Terms of Reference (ToR) checklists tailored to frequently procured goods and services.
Organize hands-on training workshops for user departments on how to draft clear and comprehensive technical specifications and Statements of Work (SoWs).
Assign dedicated procurement focal points or category specialists to provide early technical guidance during the procurement request development phase.
Build an institutional Specification Bank or Catalogue, containing pre-vetted and reusable templates/specifications for common items and services.
Institutionalize early procurement planning and forecasting exercises at the start of each program year, allowing adequate time for developing quality specifications.
</t>
  </si>
  <si>
    <t xml:space="preserve">Over-Reliance on External Suppliers for Essential Health Products </t>
  </si>
  <si>
    <t xml:space="preserve">If access to external suppliers is disrupted, then procurement cycles will be prolonged, leading to delayed service delivery and disease control activities across Member States. 
If no resilient local manufacturing system exists, then regional public health supply chains will be continuously vulnerable during global emergencies. 
If dependency continues, then Africa CDC’s ability to implement rapid, equitable response mechanisms will be severely constrained. </t>
  </si>
  <si>
    <t xml:space="preserve">Support establishment and operationalization of regional manufacturing hubs (as part of PAVM platform and AU Pharma Manufacturing Strategy) 
Advocate for domestic financing policies and blended capital instruments for local suppliers 
Strengthen pooled procurement mechanisms to support local and regional sourcing 
Establish risk-sharing frameworks and technology transfer partnerships 
Incentivize Member States to create enabling environments for pharmaceutical manufacturing </t>
  </si>
  <si>
    <t>Documentation Errors in Customs Clearance</t>
  </si>
  <si>
    <t xml:space="preserve">If documents are incomplete or incorrect, then clearance timelines are extended, leading to product expiration risks (especially cold chain items), stock-outs, and additional port charges. 
If delays persist, then program implementation timelines and donor confidence may be compromised. 
If errors go uncorrected, the institution could face sanctions or rejection of future clearances by port authorities. </t>
  </si>
  <si>
    <t xml:space="preserve">Develop and disseminate standardized SOPs and a customs clearance checklist 
Establish a training program for supply chain and clearance personnel on import documentation requirements and procedures 
Implement a pre-clearance document verification tool or tracking system 
Maintain a database of commonly required documents by country/commodity to streamline processing 
Conduct annual  reviews of customs delays and root cause analysis </t>
  </si>
  <si>
    <t xml:space="preserve">Non-Compliance with Import/Export Regulations </t>
  </si>
  <si>
    <t xml:space="preserve"> If goods are found non-compliant upon arrival, then permits may be denied, resulting in stock delays or returns. 
 If regulatory breaches occur, then Africa CDC’s reputation may suffer with customs authorities and Member States, affecting future cooperation. 
If embargoed or unauthorized products are shipped, then Africa CDC could face legal, political, or donor scrutiny, undermining public trust. </t>
  </si>
  <si>
    <t>Develop and maintain a centralized Africa CDC Import/Export Regulatory requirement Database accessible to all clearance teams 
Include a regulatory compliance checklist in the SOP for all cross-border shipments 
Conduct quarterly regulatory update reviews and disseminate alerts across relevant technical and logistics teams 
Include a clause on compliance responsibilities in contracts with third-party brokers and freight forwarders</t>
  </si>
  <si>
    <t xml:space="preserve">Third-Party Errors by Freight Forwarders or Customs Brokers </t>
  </si>
  <si>
    <t xml:space="preserve"> If customs documentation is incorrect or shipment procedures are mishandled, then cargo may be delayed at ports, resulting in late deliveries and unmet project timelines. 
If cargo is misrouted or lost, then Africa CDC may incur demurrage fees or emergency re-shipment costs. 
If repeated third-party errors occur, then stakeholder trust in Africa CDC’s logistics reliability may erode, affecting future collaboration with Member States or partners. </t>
  </si>
  <si>
    <t xml:space="preserve">Institute a performance monitoring system with KPIs for all freight forwarders and customs brokers 
Establish pre-engagement assessments and certification for logistics partners 
Develop and enforce SOPs for documentation, handover protocols, and compliance checks 
Include penalties or non-compliance clauses in contracts for repeated delays or errors 
Conduct regular  review meetings with logistics providers to identify and address process gaps 
</t>
  </si>
  <si>
    <t xml:space="preserve">Mis-declaration and Fraud in Customs Clearance </t>
  </si>
  <si>
    <t xml:space="preserve">If falsified documents are submitted during customs clearance, then the organization risks fines, seizures of critical supplies, or blacklisting by port authorities. 
If cases of smuggling or undeclared items are linked to Africa CDC shipments, then institutional credibility will be harmed, potentially affecting donor trust and partnerships. 
If sanctions or investigations occur, then clearance timelines for urgent shipments may be severely delayed, with cascading effects on national-level response operations. </t>
  </si>
  <si>
    <t xml:space="preserve">Institute a dual-verification process for all customs documentation before submission 
Contract only prequalified, vetted customs brokers and agents with performance history and anti-fraud credentials 
Develop and deploy a clearance compliance checklist for all outgoing and incoming shipments 
Conduct periodic training and refresher sessions for logistics teams and third-party brokers on compliance with import/export regulations 
</t>
  </si>
  <si>
    <t xml:space="preserve">Loss of Key Supply Chain Staff Post-SLL Program </t>
  </si>
  <si>
    <t>If SLL-funded staff exit without transition plans, then procurement timelines will stall, CCE&amp; ICL country support will be interrupted including ongoing technical support to members states, and knowledge transfer will be lost. 
If the Supply Chain Division lacks technical staffing during emergency activation, then Africa CDC’s ability to deliver timely medical countermeasures and commodities will be impaired. 
If skilled RCC focal persons are lost, then coordination with Member States will deteriorate, leading to fragmented implementation of regional priorities.</t>
  </si>
  <si>
    <t xml:space="preserve">Initiate a transition planning task team to map critical staff roles and develop continuity mechanisms. 
Propose phased absorption of SLL staff into Africa CDC’s institutional HR structure. 
Engage with HR and Partnerships Divisions to advocate for funding or reprogramming options with donor partners. 
Create a surge staffing pool or roving support structure to cover post-SLL operations in critical regions. 
Include supply chain workforce sustainability in Africa CDC’s resource mobilization strategy. </t>
  </si>
  <si>
    <t xml:space="preserve">Partnerships </t>
  </si>
  <si>
    <t>Regulatory Non-Compliance
Risk of non-adherence to Africa CDC or donor-specific policies and requirements, potentially jeopardizing funding and institutional credibility.</t>
  </si>
  <si>
    <t>1.During audits, Africa CDC may receive a “qualified” opinion, signaling serious compliance issues to donors.
2.Weak compliance oversight can lead to an inability to track how funds are used or to hold partners accountable.
3.Donors may question the institution's credibility, potentially leading to strained relationships or funding cuts.
4.Africa CDC's ability to continue managing large-scale grants could be called into question, risking its institutional reputation</t>
  </si>
  <si>
    <t xml:space="preserve">1.Many staff involved in grant management may not be fully aware of donor rules, policies, or contractual obligations due to limited or irregular training opportunities.
2.There are minimal or no structured compliance monitoring visits to verify adherence to grant agreements across implementing teams.
3.Existing legal frameworks (e.g., MoUs and contracts) may lack clarity or enforcement mechanisms to ensure partners uphold their commitments.
4.Limited oversight or audit visits allow issues to go undetected until formal reviews occur
</t>
  </si>
  <si>
    <t>1.Deliver regular, mandatory training tailored regulatory compliance policies and requirements to the program and finance staff to build a shared understanding of compliance obligations.
2.Introduce scheduled compliance site visits and check-ins to assess adherence to donor rules and Africa CDC policies.
3.Strengthen legal review and oversight of all partnership agreements to ensure enforceability.
4.Introduce whistleblower policies and safe reporting channels to detect and address misconduct - office of the obudsman maybe</t>
  </si>
  <si>
    <t>Lack of Real-Time Financial Oversight
Inability to monitor grant expenditures in real time may lead to budget overruns, inefficiencies, or reporting gaps.</t>
  </si>
  <si>
    <t xml:space="preserve">1.Decision-makers may rely on outdated or inaccurate financial data, leading to uninformed or risky programmatic decisions.
2. Discrepancies in expenditure reports can lead to audit findings or non-compliance with grant terms, affecting Africa CDC’s reputation.
</t>
  </si>
  <si>
    <t xml:space="preserve">1.Use of outdated or non-existent financial tracking systems - Budget excecution report
2.There is no consistent process to verify partner-reported expenses, especially for grants implemented through external partners (IPs).
3.Staff onboarding processes may not sufficiently emphasize financial management protocols, especially for newly recruited or rotating personnel.
</t>
  </si>
  <si>
    <t>1.Implement an integrated automated financial system linked with grants, procurement, and HR platforms for real-time oversight.
2.Establish verification routines for all partner expenses, including spot checks and regualr document reviews to confirm the reproted financial position at all times.
3.Strengthen orientation programs to ensure all new staff understand financial compliance expectations.</t>
  </si>
  <si>
    <t>Grants Management unit/LegalEO</t>
  </si>
  <si>
    <t>Inadequate Financial Reporting
Delays or inaccuracies in financial reporting could undermine transparency and stakeholder confidence.</t>
  </si>
  <si>
    <t>1.Missing or delaying financial reports can violate signed grant agreements, causing donors to question the institution’s fund management reliability.
2.Repeated reporting failures may lead to funding suspension or loss of future grant opportunities.</t>
  </si>
  <si>
    <t>1.Teams responsible for financial reporting may lack the capacity or experience to prepare accurate, timely reports.
2.Reporting deadlines imposed by donors may be tight and difficult to meet given internal review cycles or competing responsibilities.</t>
  </si>
  <si>
    <t>1.Standardize reporting formats and templates to ease the preparation and review process.
2.Conduct regular training on financial reporting, emphasizing accuracy, timeliness, and donor expectations.
3.Automate grant tracking tools to send reminders and monitor deadlines to ensure timely submissions.</t>
  </si>
  <si>
    <t>Grants Management unit</t>
  </si>
  <si>
    <t>Delayed Fund Disbursements
Slow release of funds from donors may disrupt program timelines and operational continuity.</t>
  </si>
  <si>
    <t>Delays in releasing funds impact activity implementation, resulting in missed timelines or failure to achieve project milestones.</t>
  </si>
  <si>
    <t>1.Internal bureaucratic processes and long approval chains slow down fund movement.
2.Weak documentation practices delay the clearance of expense reports and advance settlements.</t>
  </si>
  <si>
    <t>1.Simplify and digitise the approval processes for faster decision-making - turnaroudn time management.
2.Train staff on proper documentation and streamline finance workflows to minimize bottlenecks.</t>
  </si>
  <si>
    <t>Grants Management unit/MIS</t>
  </si>
  <si>
    <t>Financial Mismanagement or Fraud
Potential misuse or mismanagement of grant funds may lead to reputational damage and corrective action by donors.</t>
  </si>
  <si>
    <t>1.Donors may withdraw current or future support - "money management should feel safe''
2.Africa CDC may face legal action, including mandatory reimbursement of misused funds.</t>
  </si>
  <si>
    <t>1.Lax internal controls can allow financial malpractice to go unnoticed/unchecked - empower the system(hardware plus the users) to check and control fraud(policies, people)
2.Intentional fraud by staff or partners due to inadequate oversight or absence of deterrents.</t>
  </si>
  <si>
    <t xml:space="preserve">1. Zero tolerance policy - staff and maganement implenting this
2.Strengthen internal controls and financial audits across all program units.
3.Introduce anonymous whistleblower mechanisms and fraud awareness campaigns.
4.Build a culture of accountability through leadership-led transparency initiatives.
</t>
  </si>
  <si>
    <t>Misaligned Program Delivery
Poor alignment of grant-funded activities with agreed objectives may result in missed targets and underperformance</t>
  </si>
  <si>
    <t>1.Programs may drift away from grant priorities, leading to under-delivery and poor impact reporting.
2.Donors may view Africa CDC as an unreliable implementer, affecting future funding opportunities.</t>
  </si>
  <si>
    <t>1.Absence of structured grant monitoring systems that flag misaligned activities early.</t>
  </si>
  <si>
    <t>1.Set up monthly monitoring systems, including program reviews and dashboard tracking.
2.Encourage adaptive planning based on implementation realities.</t>
  </si>
  <si>
    <t>Data Integrity Risks
Inconsistent data collection, validation, or storage practices could compromise decision-making and donor reporting accuracy</t>
  </si>
  <si>
    <t>Inconsistent or unreliable data leads to poor planning, misleading reports, and reduced institutional credibility</t>
  </si>
  <si>
    <t xml:space="preserve">Data systems in place is fragmented, with no standardized method for storing, validating, or analyzing grant-related data.
</t>
  </si>
  <si>
    <t xml:space="preserve">1.Establish a centralized grant data repository - Africa CDC connect
2.Implement clear data validation protocols and regular audits of key datasets.
</t>
  </si>
  <si>
    <t>Human Resource deficiencies
Insufficient staffing or lack of specialized expertise may hinder effective grant implementation and oversight.</t>
  </si>
  <si>
    <t>This limitation may lead to burnout, missed deadlines, and inefficient low quality implementation of grant activities</t>
  </si>
  <si>
    <t xml:space="preserve">Budgeting for staffing numbers does not still meet the need  and capacity of the organsiation to allow for seamless grant management </t>
  </si>
  <si>
    <t>1.Use standardized grant budgeting tools that prioritize skilled staffing in the organisation.
2.Business Units to Align with HR during budgeting to align Organisation needs with program needs from the proposal stage.</t>
  </si>
  <si>
    <t>Fragmented Stakeholder Communication
Weak coordination and communication among partners may create duplication, delays, or oversight challenges.</t>
  </si>
  <si>
    <t>Confusion, duplication of efforts, and resource inefficiencies across teams.</t>
  </si>
  <si>
    <t xml:space="preserve"> Absence of clearly documented business processes outlining who is responsible for what in grant execution at Africa CDC - disjointed approach to stakeholder manageemnt
</t>
  </si>
  <si>
    <t>Negligible</t>
  </si>
  <si>
    <t>Develop detailed implementation guidelines, role definitions, and SOPs for each grant.</t>
  </si>
  <si>
    <t xml:space="preserve">Weak Grant Close-Out Processes
Incomplete or delayed grant closure procedures may affect final reporting, reconciliation, and institutional learning(knowledge management). </t>
  </si>
  <si>
    <t xml:space="preserve">1. Without a structured grant close out process, there may be significant delays in closing a project, impacting financial reconciliation, reporting, and staff offboarding.
2. Failure to complete necessary financial and technical documentation may result in negative audit outcomes and unresolved compliance queries.
3.Poor knowledge management i.e.challenges, lessons learned and best practices transfer are often lost, limiting the organization’s ability to improve future grant performance and application.
</t>
  </si>
  <si>
    <t>1.Lack  of Grant close-out procedures within Africa CDC’s grant management policy or individual grant agreements.
2. Program and finance teams may not be adequately trained or oriented on the importance, timing, and steps required during grant closure.
3. Close-out activities are often not considered during the early stages of grant implementation, leading to rushed or incomplete closure processes.
4.Disconnect between program, finance, and procurement unitswhen closing out resulting in delays or gaps in closing grant-related activities</t>
  </si>
  <si>
    <t>1.Develop and Institutionalize Grant close-out Procedures at Africa CDC and have it disseminated to staff at Grant kickoff meetings with follow up during implentation of the grant
2.Continuopusly train relevant staff on close-out requirements and assign clear accountability for executing each step of the process.
3. Establish and coordiante grant close-out review meetings between finance, program, and procurement teams to ensure alignment and timely resolution of pending actions.</t>
  </si>
  <si>
    <t>Limited Political Backing in Select Member States
Risk of reduced government-level support in some Member States, which may hinder effective implementation of Africa CDC initiatives and slow regional health coordination efforts.</t>
  </si>
  <si>
    <t>1.Disruption or delays in program implementation due to misaligned expectations or unclear directives in the MS.
2.Reduced regional cooperation and trust, affecting coordination on health emergencies or joint initiatives.</t>
  </si>
  <si>
    <t>1.Inconsistent or delayed communication channels between Africa CDC and national health authorities.
2.Lack of structured feedback loops to maintain ongoing collaboration - 'silo effect'.</t>
  </si>
  <si>
    <t xml:space="preserve">1.Strengthen communication frameworks by establishing regular check-ins with Member State focal points.
2.Conduct targeted advocacy to secure country-level buy-in, including political and technical endorsement of Africa CDC-led programs.
</t>
  </si>
  <si>
    <t xml:space="preserve">Political Instability in Member States
Ongoing or sudden political unrest(wars,demonstartions etc) in certain countries may disrupt health programs, restrict access to affected regions, and delay implementation timelines.
</t>
  </si>
  <si>
    <t>1.Interrupted program continuity and disrupted partnerships at the country level.
2.Delayed execution of Africa CDC-supported programs or joint activities.</t>
  </si>
  <si>
    <t>1.Changes in national leadership or restructuring of health ministries during electoral cycles.
2.Shift in MS policy priorities that alter significantly the regional health cooperation.</t>
  </si>
  <si>
    <t xml:space="preserve">1.Maintain strong, country-specific advocacy strategies tailored to varying political environments.
2.Develop engagement briefs and transition toolkits for onboarding new country officials into Africa CDC platforms.
</t>
  </si>
  <si>
    <t>Partnerships Unit</t>
  </si>
  <si>
    <t xml:space="preserve">Inconsistent Data Sharing by Member States
Risk of irregular or incomplete data submission from Member States, which can compromise timely decision-making, continental surveillance, and Africa CDC’s ability to provide accurate guidance.
</t>
  </si>
  <si>
    <t>1.Delays in Africa CDC’s response to health crises due to limited operational access or information flow.
2.Fragmentation of continental disease surveillance and control timely efforts.</t>
  </si>
  <si>
    <t>1.Emerging national policies that impose limitations on cross-border data flow, workforce mobility, or partner operations.
2.Sovereignty concerns or political sensitivities affecting external engagement</t>
  </si>
  <si>
    <t>1.Promote early adoption of multilateral data-sharing agreements.
2.Undertake diplomatic and technical advocacy to strengthen mutual trust and transparency with Member States.</t>
  </si>
  <si>
    <t xml:space="preserve">Misalignment of Partner Objectives with Africa CDC’s Strategic Goals
Risk that partner-driven priorities may not fully align with Africa CDC’s mandate, leading to fragmented implementation, duplication of efforts, or diluted impact.
</t>
  </si>
  <si>
    <t>1.Overlapping or conflicting priorities that lead to inefficient use of resources.
2.Delays in project delivery or reduced impact due to lack of alignment.</t>
  </si>
  <si>
    <t>1.Inadequate engagement with relevant focal points in the Business Units during partnership negotiation.
2.Absence of a comprehensive needs and capacity assessment during partner scoping and onboarding.</t>
  </si>
  <si>
    <t>1.Hold co-creation meetings with relevant Business units during inception phase in the partnership design.
2.Establish shared workplans and M&amp;E indicators and track at the different Business Unit levels.
3.Schedule quarterly partner-Business units alignment forums to have targets/achievements commonly communciated and criticed .</t>
  </si>
  <si>
    <t>Insufficient Partner Engagement
Risk of limited collaboration or information exchange with key partners, which may lead to missed opportunities, weak program ownership, and reduced effectiveness of joint interventions.</t>
  </si>
  <si>
    <t>1.Reduced enthusiasm from partners to contribute funding or technical expertise.
2.Risk of losing long-standing partnerships.</t>
  </si>
  <si>
    <t>1. Inconsitent communication between Africa CDC and the partners - Long periods without updates to partners, non-response to partner communciation.
2. lack of recognition for contributions from Partners.
3.Communication perceived as one-sided or transactional - have continous Partners engagement sessions 
.</t>
  </si>
  <si>
    <t>1.Publish quarterly partnership newsletters highlighting achievements.
2.Celebrate partner milestones through Africa CDC platforms and events.
3.Use feedback mechanisms to gather and act on partner concerns - Annual partner forums, Partnership Webinars.</t>
  </si>
  <si>
    <t>Unexpected Withdrawal of Key Partners
Sudden or unplanned partner exits because of resource shifts, political decisions, or internal priorities may leave programmatic and financial gaps that strain Africa CDC operations.</t>
  </si>
  <si>
    <t>1.Immediate halt in project activities, leaving Africa CDC to cover gaps.
2.Loss of institutional knowledge and momentum due to staff turnover, system shutdown etc</t>
  </si>
  <si>
    <t xml:space="preserve">1. Drastic shifts in the partner’s strategic direction due to change in leadership or political priorities
2.The partner might be facing financial challenges thus the need to institute budget cuts
</t>
  </si>
  <si>
    <t>1.Include exit and sustainability clauses in partnership MOUs.
2.Develop backup plans and maintain relationships with secondary partners.
3.Conduct annual partner risk assessments to ascertain the exposure of Africa CDC and mitigate accordingly.</t>
  </si>
  <si>
    <t>Overreliance on Partners for Core Functions support
Dependence on Donors for funding or implementation may weaken institutional autonomy, sustainability, and resilience during times of transition or crisis.</t>
  </si>
  <si>
    <t>1.Vulnerability to changes in international support and priorities as programs may stop abruptly if donor priorities shift.
2.Africa CDC’s long-term credibility could be questioned due to lack of a financial sustainability plan</t>
  </si>
  <si>
    <t>1.Lack of domestic investment in health security systems - Africa Health financing based on the Abuja declaration.
2.Overreliance on donor-funded programs for core operations.</t>
  </si>
  <si>
    <t>1. Advocate for domestic health funding through AU channels - 
2. Explore innovative financing such as health taxes or levies - Sin taxes, Solidarity levy on airline tickets
3.Pilot co-financing models with Member States - the 'Greenbook'</t>
  </si>
  <si>
    <t>Temporary Leadership Capacity Constraints at Directorate Level
Extended vacancies in senior leadership roles may temporarily affect strategic business processes continuity, internal coordination, and the pace of program delivery.</t>
  </si>
  <si>
    <t xml:space="preserve">1.Slowed down decision-making in the directorate, affecting responsiveness to opportunities and crises in the organisation.
2.Internal coordination may weaken in the absence of clear leadership </t>
  </si>
  <si>
    <t>Simultaneous absence of key leaders due to health issues and role transitions.</t>
  </si>
  <si>
    <t>1.Develop a leadership continuity plan and designate acting roles at directorate for seamless transiitoning at all times.
2.Institutionalize decision-making processes through SOPs - communication,partners engagement etc.</t>
  </si>
  <si>
    <t>Conflicting Interests Between Partners and Africa CDC
Situations where partners pursue agendas that conflict with Africa CDC’s values or strategic direction may lead to tensions, reduced trust, and compromised collaboration.</t>
  </si>
  <si>
    <t>1.Ethical dilemmas and reputational risks for Africa CDC.
2.Disputes that may slow down or derail joint efforts.</t>
  </si>
  <si>
    <t>1.Undefined roles and expectations during program design by the differetn players in the MOU/Agreement.
2. Competing priorities or mandates among partners.</t>
  </si>
  <si>
    <t>1.Partner Anlysis but with a focus on doing conflict-of-interest assessments before formalizing partnerships 
2.Have MOUs/Agreements have a clause for arbitration and conflict resolution procedures in all agreements.
3.Ensure that strucuted partner onboarding sessions are carried out to  to clarify roles and accountability</t>
  </si>
  <si>
    <t>Limited Institutional Capacity for Proposal Development
Human resource gaps in technical gap scoping, writing skills, proposal strategy, and donor intelligence within internal teams may hinder Africa CDC's ability to develop high-quality, competitive funding proposals.</t>
  </si>
  <si>
    <t xml:space="preserve">1.Reduced positioning of Africa CDC with its dynamic competitiveness - conevening power,  Operational efficiency, staffing etc
.
2. Missed funding opportunity due to low quantity and low qualiity proposal being submitted - with quantity being a bigger
3. Proactiveness in the BU to apply for this proposals -level of thinking to capitalise on gaps available - Capacity knowledge gap
</t>
  </si>
  <si>
    <t>1.Lack of dedicated Business development personnel/ units that cordinates resource mobilisation efforts at Africa CDC.
2.Limited training and exposure to current donor requirements when resource mobilising and if the training/exposure is there we have an absence of internal knowledg due to limited sharing of information to leverage past proposal learnings.</t>
  </si>
  <si>
    <t xml:space="preserve">
1.Build an in-house proposal development team with regular training to strgethen it.
2.Establish a centralized proposal knowledge base and toolkit with Partner assessments as part of the toolkit.
3.Introduce peer-review mechanisms to improve submission quality.
</t>
  </si>
  <si>
    <t>Dynamic Political and Economic Landscape
Unpredictable shifts in funders economic and/or political priorities may delay implementation, reduce engagement, or shift funding allocations critical to Africa CDC initiatives.</t>
  </si>
  <si>
    <t xml:space="preserve">
1.Reduced partner engagement leading to reduced funding.
2.Drastic reallocation of national resources in the member states away from regional health commitments to focus more on domestic as s top=gap measure</t>
  </si>
  <si>
    <t xml:space="preserve">
1.Frequent political transitions in some Member States may shift national priorities away from continental health commitments - Trump Effect.
2.Limited institutionalization of Africa CDC priorities within national strategies, making support dependent on individual leadership agendas.
</t>
  </si>
  <si>
    <t xml:space="preserve">1.Foster strong institutional relationships beyond individuals to cushion the organsiation against any furture shocks in funding.
2.Supoport countries to build specific advocacy strategies that include economic framing of health investments - 'the Green book outlines this.
</t>
  </si>
  <si>
    <t>Resource Mobilisation unit</t>
  </si>
  <si>
    <t>Limited Donor Stewardship and Relationship Management
Inconsistent donor engagement, reporting, or communication can lead to diminished confidence, missed funding opportunities in some cases, and ultimately reduced long-term partnerships.</t>
  </si>
  <si>
    <t xml:space="preserve">1.Loss of trust and credibility with key donors.
2.Reduced likelihood of renewal or scaling of grants.
</t>
  </si>
  <si>
    <t xml:space="preserve">Failure to build and maintain strong longterm working relationships with donors,both previous and current - capitalise on the existing relationships - Evidence of Limited capacity or unclear ownership of donor relationship management at Africa CDC,customized communication strategies for different donor profiles
</t>
  </si>
  <si>
    <t xml:space="preserve">
1.Assign clear focal points for each donor relationship coupled with clear strategy of engaging each category of donor allcoated.
2.Develop donor-specific engagement plans - institute donor regular updates.
Institute structured reporting calendars and compliance tracking tools.</t>
  </si>
  <si>
    <t>Resource Mobilisation unit/EO</t>
  </si>
  <si>
    <t>Limited Innovation in Fundraising Strategy
Overreliance on traditional fundraising mechanisms without exploring diversified or sustainable financing options may restrict Africa CDC’s ability to scale or adapt to emerging health priorities.</t>
  </si>
  <si>
    <t>1.Reduced financial power in addressing new public health challenges due to inflexible funding sources.
2.Missed opportunities for long-term, sustainable financing from alternative funders such as development banks, foundations, and private investors.
3.Underutilization of Africa CDC’s convening power and credibility in global health spaces that could otherwise attract impact-driven investments.</t>
  </si>
  <si>
    <t xml:space="preserve">
1. Rigidly relying on traditional fundraising methods which do not reflect the current changes in the donor landscape - Lack of exposure to or experience with blended finance or private-sector partnerships.
2.Inflexible internal systems to accommodate non-traditional funding mechanisms - Not building on current and new partnerships - PPPs - Ilumina, installling sequncing machines in NPHIs
3. Not contiously adjusting Afirca CDC competitve advantage due to limited market intelligence on emerging funding models</t>
  </si>
  <si>
    <t>1.Structured exploration and piloting of blended financing models.
2.Build partnerships with non-traditional funders (e.g., philanthropies, development banks) through market inteligence on where the shift in funding is heading to.
3.Invest in resource mobilization staff training on innovative fundraising.</t>
  </si>
  <si>
    <t>Directors ERSE</t>
  </si>
  <si>
    <t>Fragmented Internal Coordination for Resource Mobilization
Existence of siloed information, and inconsistent collaboration between Business units can delay proposal submissions, reduce proposal quality, and affect donor confidence.</t>
  </si>
  <si>
    <t xml:space="preserve">1. Poor donor engagement and management due to constant inconsistent messaging to donors.
2. Poor coordiantion due to constant duplication of efforts or overlooked opportunities.
</t>
  </si>
  <si>
    <t xml:space="preserve">1.Absence of a clear organizational structure for proposal development and donor engagement at Africa CDC.
2.Communication breakdwons leading to departmental silos and limited cross-functional collaboration in the different Business Units.
</t>
  </si>
  <si>
    <t xml:space="preserve">1.Establish a central resource mobilization task force with cross- business unit representation at Africa CDC for proper coordination internally.
</t>
  </si>
  <si>
    <t>Legal</t>
  </si>
  <si>
    <t xml:space="preserve">Regulatory Integration </t>
  </si>
  <si>
    <t xml:space="preserve">Data protection breaches, legal disputes, implementation delays, weak cross-border cooperation </t>
  </si>
  <si>
    <t xml:space="preserve">Lack of data-sharing agreements, delayed domestication of legal frameworks, late legal involvement in planning </t>
  </si>
  <si>
    <t>Advocate for the singing of the Africa CDC data-sharing agreements, Develop standard legal templates; establish early legal review mechanisms in programme planning; support Member States in domestication of regional and international legal instruments; strengthen coordination with national legal focal points; conduct periodic legal compliance assessments and regulatory mapping exercises</t>
  </si>
  <si>
    <t>Lab/Legal</t>
  </si>
  <si>
    <t xml:space="preserve">Internal Governance </t>
  </si>
  <si>
    <t xml:space="preserve">Staff dissatisfaction, reputational risk, internal disputes, potential legal complaints </t>
  </si>
  <si>
    <t xml:space="preserve">Lack of SOPs, reliance on outsourced HR functions, weak internal oversight mechanisms </t>
  </si>
  <si>
    <t>Develop and implement internal SOPs and governance manuals; strengthen internal grievance and dispute resolution mechanisms; improve oversight and accountability structures; enhance HR governance capacity internally; conduct regular ethics, compliance, and workplace conduct trainings</t>
  </si>
  <si>
    <t>Legal/HR/Execuitive Office/OIO</t>
  </si>
  <si>
    <t xml:space="preserve">Capacity &amp; Institutional Sustainability </t>
  </si>
  <si>
    <t xml:space="preserve">Disruption of legal services, governance delays, reduced institutional effectiveness </t>
  </si>
  <si>
    <t xml:space="preserve">Staffing shortages, short-term contracts, unpredictable funding, absence of ROPs and continuity planning </t>
  </si>
  <si>
    <t>Develop long-term staffing and succession plans; secure sustainable budget allocations for legal functions; establish and operationalise Rules of Procedure (ROPs) and business continuity frameworks; strengthen institutional knowledge management systems; invest in staff retention, mentorship, and continuous professional development</t>
  </si>
  <si>
    <t>HR/Executive Office</t>
  </si>
  <si>
    <t xml:space="preserve">Intellectual Property &amp; Emerging Frameworks </t>
  </si>
  <si>
    <t xml:space="preserve">IP disputes, missed strategic opportunities, reduced influence in global health governance </t>
  </si>
  <si>
    <t xml:space="preserve">Absence of harmonised IP strategy, limited awareness of emerging legal frameworks (e.g. Pandemic Agreement) </t>
  </si>
  <si>
    <t>Develop an institutional intellectual property and innovation strategy; establish legal monitoring mechanisms for emerging global health frameworks; strengthen staff awareness and technical expertise on international legal developments; engage proactively in international negotiations and policy forums; build partnerships with specialised legal and research institutions</t>
  </si>
  <si>
    <t>HOD</t>
  </si>
  <si>
    <t xml:space="preserve">Contractual Compliance </t>
  </si>
  <si>
    <t xml:space="preserve">Legal claims, financial penalties, reputational damage, loss of partner confidence </t>
  </si>
  <si>
    <t xml:space="preserve">Weak contract monitoring, use of non-standard templates, limited legal literacy, poor coordination across units </t>
  </si>
  <si>
    <t>Establish centralised contract management and tracking systems; adopt standardised agreement templates and approval procedures; conduct regular legal and procurement training for staff; strengthen interdepartmental coordination and review mechanisms; implement periodic compliance audits and performance monitoring</t>
  </si>
  <si>
    <t>Legal/HR/Executive Office</t>
  </si>
  <si>
    <t xml:space="preserve">Financial Compliance &amp; Legal Oversight </t>
  </si>
  <si>
    <t xml:space="preserve">Audit findings, financial mismanagement, donor disengagement, legal liability </t>
  </si>
  <si>
    <t xml:space="preserve">Weak enforcement of financial rules, inadequate oversight of external funds, lack of structured dispute mechanisms </t>
  </si>
  <si>
    <t>Strengthen internal financial compliance and oversight systems; establish clear dispute resolution and escalation mechanisms; improve coordination between legal, finance, and procurement units; conduct regular compliance audits and donor reporting reviews; enhance monitoring of grants, partner funding, and fiduciary obligations</t>
  </si>
  <si>
    <t>Legal/Finance/OIO/HR/Executive Office</t>
  </si>
  <si>
    <t xml:space="preserve">Disaster Preparedness &amp; Legal Continuity </t>
  </si>
  <si>
    <t xml:space="preserve">Delayed emergency response, operational disruption, increased legal exposure </t>
  </si>
  <si>
    <t xml:space="preserve">Absence of comprehensive legal emergency frameworks, weak integration with operational systems </t>
  </si>
  <si>
    <t>Environmental</t>
  </si>
  <si>
    <t>Develop legal emergency preparedness and continuity frameworks; integrate legal functions into institutional emergency response systems; establish rapid legal advisory mechanisms during crises; conduct simulation exercises and preparedness trainings; maintain updated emergency delegation and decision-making protocols</t>
  </si>
  <si>
    <t>EPR/Legal/Executive Office</t>
  </si>
  <si>
    <t xml:space="preserve">External Legal &amp; Political Environment  </t>
  </si>
  <si>
    <t xml:space="preserve">Contract disruptions, policy reversals, operational instability across Member States </t>
  </si>
  <si>
    <t xml:space="preserve">Political instability, overreliance on external actors, limited internal legal capacity across jurisdictions </t>
  </si>
  <si>
    <t>Diversify strategic partnerships and funding sources; strengthen engagement with Member States and regional institutions; build internal legal capacity for cross-jurisdictional operations; develop contingency and political risk management plans; maintain regular legal and political risk monitoring and scenario assessments</t>
  </si>
  <si>
    <t>OIO/Finance/Legal</t>
  </si>
  <si>
    <t>HR</t>
  </si>
  <si>
    <t>If Africa CDC continues to heavily rely on a single donor to fund its human resources, then it faces a significant risk of operational disruption should the donor reduce or withdraw funding.</t>
  </si>
  <si>
    <t>🔴 1. Disruption of Operations
A sudden loss of staff (up to 90%) would severely disrupt the division’s ability to carry out its programs and activities.
Key functions, such as coordination, reporting, and stakeholder engagement, could come to a halt.
🔴 2. Loss of Institutional Knowledge and Expertise
Departing staff may take with them critical institutional memory, technical skills, and programmatic know-how.
Rebuilding this capacity could take significant time and resources.
🔴 3. Reduced Program Effectiveness and Impact
With fewer staff, the quality and reach of services, technical assistance, and initiatives may decline.
Performance targets and strategic objectives may not be met.
🔴 4. Reputational Damage
Stakeholders and partners may perceive the division as unstable or poorly managed.
This could diminish trust and deter future collaboration or investment from other donors.
🔴 5. Decreased Staff Morale and Retention
Remaining staff may experience burnout from increased workloads or fear job insecurity.
This can lead to further attrition and difficulty in attracting new talent.
🔴 6. Compromised Donor Relations
If deliverables are not met due to staff losses, the relationship with the primary donor may also deteriorate.
This could result in additional funding cuts or stricter conditions.
🔴 7. Inability to Sustain Long-Term Strategic Goals
Strategic initiatives and long-term projects may be paused or abandoned.
This threatens the division’s overall mission and ability to contribute to the broader organizational mandate.</t>
  </si>
  <si>
    <t>1. Lack of a diversified donor strategy – No structured plan to attract multiple donors for human resource funding.
2. Inadequate resource mobilization capacity – No dedicated team/personnel to develop and execute funding strategies.
3. Over-reliance on short-term project-based funding – Human resource costs are linked to time-bound donor projects.
4. Limited or insufficient  institutional core funding – The organization lacks a core budget to support staff independently of external donors.
5. Organizational culture focused on program delivery over sustainability – Emphasis on outputs without strategic planning for long-term viability.</t>
  </si>
  <si>
    <t>1• Introduce LOE  mechanism for staff contracts                                    2.Utilization of overhead costs to fund staffing                                 3.Proactively engage with multiple donors and international partners to broaden the funding base for staffing.                           
4• Advocate for increased internal budget allocation from core funding or Member States to support staffing
3• Design a phased HR sustainability plan that outlines how positions will transition from donor-funded to Member State funded.
4• Negotiate longer-term funding commitments with donors (e.g., 3–5 years) with renewal clauses.
5• Create a contingency or reserve fund to cover staff costs temporarily in case of donor withdrawal.
• Include this risk in the division’s quarterly performance reviews and escalate changes to senior management.</t>
  </si>
  <si>
    <t xml:space="preserve">Head HR
Senior Leadership               External Relations and Partnership      </t>
  </si>
  <si>
    <t>Failure to adhere to SRR including policies related to recuritment, disciplinary hearings, staff grievances, performance management which affects both internal operations and external perceptions.</t>
  </si>
  <si>
    <t>Risk of legal penalties or reputational damage resulting from non-compliance</t>
  </si>
  <si>
    <t xml:space="preserve">
1.	Lack of comprehensive understanding of the SRR itself 
2.	Lack of consistent monitoring or enforcement mechanisms to ensure compliance 
3.	Cultural and behavioral issues within the organization, such as employees not formally acknowledging their understanding of the SRR and a lack of subsequent follow-up
4.	Inadequate dissemination of the SRR to all staff members
5.	Lack of an integrated HR system to flag non compliance 
6.	Absence of intentional and dedicated training programs on the SRR
</t>
  </si>
  <si>
    <t xml:space="preserve">1. Regularly review and update of HR policies against current SRR requirements,                                       2. Ensure dissemination , acknowledgement and sign off  of policy documents by  all staff                                                        3. Conduct  training for  staff and managers                                           4. Conduct KAP Survey                        5. Perform periodic audit                                   </t>
  </si>
  <si>
    <t>All staff
Head of Division
HR
Senior Leadership</t>
  </si>
  <si>
    <t>Frequent departure of staff in critical roles leads to loss of institutional memory, disrupts programme implementation and delivery, reduces staff morale, high cost of recruitment and onboarding to repalce staff.</t>
  </si>
  <si>
    <t>Loss of experienced staff, impacting organizational knowledge and consistency
Disruption in operations, knowledge loss, increased hiring costs</t>
  </si>
  <si>
    <t xml:space="preserve">
1. Job insecurity
2. Poor work-life balance and workload pressure
3. Lack of career development and growth opportunities
4. Challenges in employee/supervisor relations impact  morale and retention
5. Lack of employee engagement
6. Funding constraints for staffing
7. Slow contract renewal processes
8. Unsatisfactor work environment organizational culture                         9. Lack of harmonized and competitive compensation </t>
  </si>
  <si>
    <t>1. Conduct exit interviews to identify causes, enhance employee engagement, and establish retention programs focused on critical roles                            2.Improve retention programs,                  3. Harmonized compensation, employee engagement programs,                                 4. career development initiatives</t>
  </si>
  <si>
    <t>Head of Division
HR
Senior Leadership</t>
  </si>
  <si>
    <t>Unresolved employee grievances which can lead to public complaints, legal suits damaging the reputation of the organization. This risk can affect staff morale if staff don’t feel safe escalating grievances.</t>
  </si>
  <si>
    <t>1. Lack of timely girevance resolution 
2. Perceived bias in handling of grievance cases
3. Inconsistent application of policies and procedures
4. Lack of awareness on how to raise grievances
5, Fear of retaliation or victimizaiton</t>
  </si>
  <si>
    <t xml:space="preserve">1. Training of staff and managers on SRR                                                2.Timely resolution of grievances           3. Conduct awareness campaigns and onboarding sessions covering grievance channels.                                           4. Empower whistleblower protection protocols and communicate these policies widely.                                   </t>
  </si>
  <si>
    <t>Head of HR    Senior Management     OIO</t>
  </si>
  <si>
    <t>Unauthorized access, disclosure, loss of confidential HR data e.g personal information, medical records, payroll details, disciplinary records.  Non compliance with data protection laws.</t>
  </si>
  <si>
    <t xml:space="preserve">1. Lack of data access protocols
2. Human error
3. Weak protection of networks and devices/ insufficient data security measures
4. Physical security lapses - lack of proper storage of HR data/ unencrypted data
5,. Lack of proper back up and recovery plans/ outdated software
6. , weak passwords/ 
</t>
  </si>
  <si>
    <t xml:space="preserve">1. Development of protocols and SOPs                2. Training for  staff on HR Data management                                        3. Creation of back-up for HR records   4. Restriction of access to HR records     5. Provision of secure archive and registry for storage of personnel records                  </t>
  </si>
  <si>
    <t>HR   MIS</t>
  </si>
  <si>
    <t>Discrimination, bullying, harassment affects staff morale and well being. This may lead to reputational damage, decreased productivity,toxic work environment and legal suits. These incidences undermine trust and credibility of the institution. They can undermine the values of the institution.</t>
  </si>
  <si>
    <t xml:space="preserve">1. Lack of policy enforcement
2. Unclear reporting mechanisms
3.Tolerance  and silence around  inappropriate and unacceptable behavior in the organization
4. Misuse of power by those in positions of authority
5. Lack of investigation
6. Lack of accountability and transparency                                                 7. Absence of Advisory and Disciplinary Boards
</t>
  </si>
  <si>
    <t>1. Dissemination of policy and sign-off by Staff                                                    2. Training of staff on the policies                    3. Institution of Advisory and Disciplinary Boards                                                 4. Conduct of sensitization campaigns    5. Anonymous hotlines                            6. Monitoring of Incident Reports of Discrimination and Harasssment</t>
  </si>
  <si>
    <t>HR                      Senior Leadership</t>
  </si>
  <si>
    <t>Lack of proactive succession planning for key roles. This can lead to disruption in operations, loss of institutional memory, hindered strategic initiatives implementation.</t>
  </si>
  <si>
    <t xml:space="preserve">1. Reactive strategic HR workforce planning/ Lack of strategic workforce planning
2. Lack of structured coaching and mentoring initiatives  
3. Short contract durations due to funding 
4. Lack of capacity building and staff development
</t>
  </si>
  <si>
    <t xml:space="preserve">1. Priroritization of capacity building for staff 
2. Development of robust succession planning strategy
3. Leadership, coaching and mentoring training for senior management
4. Use the current data to anticipate future talent needs, skill gaps, and retirement trends.
</t>
  </si>
  <si>
    <t>This can lead to staffing gaps which means increased workload for existing staff, reduced productivity and may lead to delays in project implementation. Poor onboarding leads to negative perception by new hires and can lead to high turnover.</t>
  </si>
  <si>
    <t>Prolonged hiring processes affecting project timelines and organizational effectiveness.</t>
  </si>
  <si>
    <t xml:space="preserve">1. Lengthy recruitment procedures
2.  Delays in approvals for reruitment and appointments
3. Lengthy decision making to select staff
4. Lack of proper workforce planning
5. Poor coordination between Technical and HR teams 
6. Lack of proper coordination for onboardng sessions
8. The logistical hurdles in preparing for a new hire's arrival  </t>
  </si>
  <si>
    <t xml:space="preserve">1. Streamline hiring procedures, 
2. utilize digital end-to-end recruitment tools,covering recruitment and onboarding
3. development of SOPs with clear timelines for stalkholders in the recruitment process
4. adherence to onboarding SOPs
5. Pre-onboarding coordination with all stakeholders
</t>
  </si>
  <si>
    <t xml:space="preserve">HR, Procurement, Finance. 
Hiring Departments 
Communications </t>
  </si>
  <si>
    <t xml:space="preserve">Inability to retain high performing employees is a risk to stability, continuity and performance of the organization. It can lead to implementation disruptions, increased recruitment costs </t>
  </si>
  <si>
    <t>Difficulty in attracting and retaining qualified personnel due to competitive market conditions or limited local talent pools.</t>
  </si>
  <si>
    <t>1. Lack of competitive compensation and benefits packages
2. Limited career growth and development opportunities
3. Job insecurity, short contracts
4. Burnout and stress
5. Lack of meaningful or impactful work
6. Working away from family
7. Lack of talent identification/recognition</t>
  </si>
  <si>
    <t xml:space="preserve">
1. Improve work environment,  
2. Recognize employee achievements, 
3. Establish Career Pathways.
</t>
  </si>
  <si>
    <t>HR, SMT</t>
  </si>
  <si>
    <t>Failure to provide adequate, relevant, and continuous training and professional development opportunities can result in skill gaps, reduced staff performance, low morale, and limited organizational capacity to adapt to changing needs and technologies. Lack of investment in staff development may also contribute to poor retention and a disengaged workforce.</t>
  </si>
  <si>
    <t>Skills gaps that hinder performance and organizational growth.</t>
  </si>
  <si>
    <t xml:space="preserve">1. Budget constraints/Limited resources
2. Lack of strategic planning and prioritization
3. Reactive learning approach/ Lack of Baseline to understand the training needs/TNA
4. Lack of sensitization on available training opportunities/ insufficient leadership support
</t>
  </si>
  <si>
    <t>1. Allocation of sufficient budget for Learning and Development
2. Develop continuous professional development,
3. create personalized training plans, 
4. leverage on  e-learning platforms
5. Conduct a Training Needs Assessment</t>
  </si>
  <si>
    <t>HR, HoD, Leadership</t>
  </si>
  <si>
    <t>Failure to prioritize employee well being can lead to brunout, reduced moreale, increased absenteeism due to illness, high turnover.  This can contribute to toxic work culrture and reuptational risk</t>
  </si>
  <si>
    <t>Overwork or job dissatisfaction leading to absenteeism or decreased productivity.</t>
  </si>
  <si>
    <t xml:space="preserve">
1. Excessive workload and unrealistic expectations/ unclear expectations
2. Lack of work life balance/ poor work-life balance
3. Lack of access to employee assistance program/ inadequate support 
4. Micromanagement, lack of empathy by supervisors
5. Lack of leave utilization tracking and enforcement
6. High stress working environments, emergency response situations/ ultimately impacting physical and mental health
7. lack of recognition
8. Unclear direction or instructions on policy change
</t>
  </si>
  <si>
    <t>1. Promote work-life balance initiatives, 2. provide mental health support,
3. monitor workload distribution to prevent burnout, 
4. Conduct regular employee engagement surveys.
5. Segregation of duties
6. Implementation of realistic workplans and performance targets/goals
7. Compensatory Time Off
8. R&amp;R during Emergencies</t>
  </si>
  <si>
    <t>HR, Senior Leadership</t>
  </si>
  <si>
    <t>Unforseen disruptions due to strikes, pandemics, natural disasters, health crisis can affect continuity and delivery.</t>
  </si>
  <si>
    <t>Impact of unforeseen events such as pandemics, political instability, or natural disasters on staffing</t>
  </si>
  <si>
    <t>1. Public health emergencies
2. Natural disasters
3. Political instability
4. Security threats
5. ICT system failures/cyberattacks
6. funding cuts eg USAID</t>
  </si>
  <si>
    <t>1. Develop flexible work arrangements, 
2. Develop a business continuity plan, 
3. Foster a resilient organizational culture</t>
  </si>
  <si>
    <t xml:space="preserve">Lack of diversity and inclusion can lead to unequal opportunities, discrimination, reduced staff engagement. </t>
  </si>
  <si>
    <t>Risks related to unfair practices or lack of representation affecting organizational culture  Challenges in effective communication within a diverse workforce.</t>
  </si>
  <si>
    <t xml:space="preserve">1. Bias in recruitment and promotion 
2. Lack of diversity and inclusion policy
3. inadequate training 
4. lack of data for decision making </t>
  </si>
  <si>
    <t>1. Implement inclusive hiring policies and practices, 
2. Diversity training, and 
3. Establish policies that promote equity and a culture of respect and fairness.</t>
  </si>
  <si>
    <t>Significant delay in the annual appraisal of staff members</t>
  </si>
  <si>
    <t>Reduced staff motivation and morale
Inaccurate or outdated performance data for decision-making
Delayed promotions, rewards, or contract renewals
Perception of unfairness and weakened accountability culture
Reduced organizational performance and productivity</t>
  </si>
  <si>
    <t>Lack of clear appraisal timelines or enforcement of deadlines
Competing priorities and workload pressures on supervisors
Limited HR monitoring or follow-up mechanisms
Inadequate training of supervisors on performance management
Delays in cascading performance objectives from management</t>
  </si>
  <si>
    <t>Enforce strict annual appraisal timelines with reminders and escalation mechanisms
Automate appraisal process through HRMIS or digital tools
Provide training for supervisors on timely performance evaluation
Conduct mid-year reviews to avoid end-year bottlenecks
HR to monitor and report compliance to senior management quarterly</t>
  </si>
  <si>
    <t xml:space="preserve">🔴Disrupted implementation schedules; which impacts on project timelines &amp; coordination
</t>
  </si>
  <si>
    <t xml:space="preserve">
🔴Disrupted overall planned programmatic outcomes
</t>
  </si>
  <si>
    <t>🔴 Reduced outputs/increased staff burnout</t>
  </si>
  <si>
    <t xml:space="preserve">
🔴Delayed outbreak detection and response 
🔴 Poor data interoperability
</t>
  </si>
  <si>
    <t xml:space="preserve">
🔴Incomplete data for analysis and decision-making; 
🔴 Compromised surveillance outputs
</t>
  </si>
  <si>
    <t>Eastern- RCC</t>
  </si>
  <si>
    <t xml:space="preserve">Over 90% of staff in the Eastern RCC  funded by a single donor - MasterCard Foundation through the SLL programme  </t>
  </si>
  <si>
    <t xml:space="preserve"> 1. Disruption of Operations
A sudden loss of staff (over 90%) would halt the RCC's ability to carry out its core functions
2.Significant Loss of Institutional Knowledge and Expertise which may take time to build
3. Reduced Program Effectiveness, effieciency and Impact - rduced quality and reach
4. Reputational Damage arising from loss of confidence by Stakeholders and partners 
 5. Decreased Staff Morale and Retention with concormittant burnt out of the remaining staff</t>
  </si>
  <si>
    <t>Lack of clear legal framework, for RCC to source and retain funds despite having a resource mobilization committee
Over-reliance on short-term project-based funding – Human resource costs are linked to time-bound donor projects.
Shortage of institutional core funding – The organization have limited core budget to support staff independently of external donors.
Organizational culture focused on program delivery over sustainability – Emphasis on outputs without strategic planning for long-term viability.</t>
  </si>
  <si>
    <t>1• Actively engage with multiple donors and international partners to broaden the funding base for HR.
2• Advocate for increased internal budget allocation from core funding or Member States to support key HR roles.
3• Engage with the HQ HR to design a sustainability plan that outlines how positions will transition from donor-funded to institutionally funded.
4• Create a contingency or reserve fund to cover staff costs temporarily in case of donor withdrawal.
5• Include this risk in the RCC’s quarterly performance reviews and escalate changes to senior management.</t>
  </si>
  <si>
    <t>Over 90% of staff having near term contract end date with uncertainty about  renewal</t>
  </si>
  <si>
    <t xml:space="preserve"> 1. Disruption of Operations
An abrupt stoppage of staff contract due to project completion or sudden stoppage will lead to the loss of more than 90% of the staff disrupting the RCC's operations and core functions
🔴 2. Loss of Institutional Knowledge and Expertise
1. Departing staff may take with them critical institutional memory, technical skills, and programmatic know-how.
Rebuilding this capacity could take significant time and resources.
2. Reduced staff efficiency with impaired Program effectiveness and impact
With uncertainty, staff are forced to continually look for more sustainable options impacting quantity and quality of staff output.. Also  fewer staffleft after project end date can impair effectiveness and impact.</t>
  </si>
  <si>
    <t>Most RCC staff positions are financed  through Project-based funding with variable start and end date that might be defined by unsustainable emergency response funding
Weak donor relationship management – Insufficient engagement with other donors to expand the funding base or enxtend the project/prgramme timeline.
Organizational culture focused on program delivery over sustainability – Emphasis on outputs without strategic planning for long-term viability.</t>
  </si>
  <si>
    <t xml:space="preserve">1• Actively engage in innovative financing mechanisms and collaborate with more partners to broaden the funding base for HR.
2• Advocate for increased internal budget allocation from core funding or Member States to support key HR roles.
3• Design and implement a phased HR sustainability plan that transitions positions seamlessly from donor-funded to institutionally funded.
4• Negotiate longer-term funding commitments with donors (e.g., 3–5 years) with renewal clauses.
5• Document key processes, SOPs, and knowledge from donor-funded staff in central systems.
6• Upskill locally funded or regular staff to gradually fill donor-funded roles.
</t>
  </si>
  <si>
    <t xml:space="preserve">Absence of a systematic regional data sharing mechanism across the 14 member states to inform best actions </t>
  </si>
  <si>
    <t xml:space="preserve"> 1. Inappropriate or delayed response resulting in protracted outbreaks, crossborder transmissions, morbities and mortalities
2. Wrong data reporting at high profile events leading repuatational damage and embarassment
3. CSustained crossborder transmissions with data wrongly capred or reported late leading to the wrong decisions 
4. Ipoor data storage, security and protection leading to data theft and loss of data  integrity </t>
  </si>
  <si>
    <t>Delay by member states in the region in signing the data sharing agreement
Lack of funding for the establishment of regional integrated electronic data sharing platforms that is interoperable across member states
Sub-optimal trust for data security and protection when shared
Variable capacities for data generation, storage, retrieval and reporting across member states
Suboptimal operationalization of the Africa CDC flagship initiatives like RISLNET and Knowledge Hub</t>
  </si>
  <si>
    <t>1.Proactive advocacy across member states using the Governance structures to fast track data signing agreement
2. Engagement of member states and  donors on funding to establish an integrated, interoperable data sharing platform for the Eastern Africxa Region
3. Sensitization of member states on the benefit of data and information sharing in the wake of spiralling outbreaks
4. Capacitate member states' NPHI or relevant departments in the MoH on quality data generation, reporting and dissmeningation</t>
  </si>
  <si>
    <t>Possibility that RCC cannot operate if critical systems fail due to HQ-centralized IT infrastructure</t>
  </si>
  <si>
    <t>Loss of access to systems, delay in communications or data sharing</t>
  </si>
  <si>
    <t>Introduce local backup infrastructure</t>
  </si>
  <si>
    <t>Infrastructure limitations (e.g., power outages, unreliable internet)</t>
  </si>
  <si>
    <t>Interruption of core RCC functions including reporting and meetings</t>
  </si>
  <si>
    <t>Install backup power sources; improve internet redundancy; HQ to support resilience infrastructure upgrades</t>
  </si>
  <si>
    <t>Delayed disbursement of allocated operational funds</t>
  </si>
  <si>
    <t>Inability to implement planned activities and reduced operational effectiveness</t>
  </si>
  <si>
    <t>Strengthen resource mobilization strategies; HQ to improve timeliness and predictability of funding flows</t>
  </si>
  <si>
    <t>Dependence on MoUs and unfinalized legal documentation (e.g., land from GoK)</t>
  </si>
  <si>
    <t>Prioritize legal finalization; engage HQ legal team and government liaisons to expedite formal agreements</t>
  </si>
  <si>
    <t>Stalled infrastructure development and reputational risks with partners</t>
  </si>
  <si>
    <t>Coordinate with Legal and all responsible stakeholders to finalize all MOUs and documentation/ AU construction unit/MOH?/</t>
  </si>
  <si>
    <t>Inadequate in-country staffing in some member states (e.g., Comoros, Eritrea)</t>
  </si>
  <si>
    <t>Fast-track recruitment or secondment; build mobile technical teams and virtual support mechanisms</t>
  </si>
  <si>
    <t>Limited technical assistance and presence, weakening public health coordination</t>
  </si>
  <si>
    <t>Uncoordinated engagement with external partners and donors</t>
  </si>
  <si>
    <t>Overlapping initiatives, inefficiencies, and loss of donor trust</t>
  </si>
  <si>
    <t>Improve partner mapping; create joint planning frameworks; conduct regular stakeholder meetings</t>
  </si>
  <si>
    <t>Possibility that delays in approval processes will hinder timely implementation of RCC priority activities</t>
  </si>
  <si>
    <t>Priority programs and interventions are delayed, reducing RCC effectiveness</t>
  </si>
  <si>
    <t>Streamline approval workflows; enforce service-level agreements for turnaround time</t>
  </si>
  <si>
    <t>Risk that absence of a dedicated emergency fund will prevent timely response to regional outbreaks</t>
  </si>
  <si>
    <t>Delayed deployment and resource gaps during public health emergencies</t>
  </si>
  <si>
    <t>Establish a dedicated emergency fund and stockpile; integrate fund planning with disease priority mapping</t>
  </si>
  <si>
    <t>Possibility of fragmented partner engagement due to lack of coordination mechanisms</t>
  </si>
  <si>
    <t>Duplication of efforts and loss of trust by donors</t>
  </si>
  <si>
    <t>Strengthen joint planning, partner mapping, regular ESAT/ReSCo coordination meetings</t>
  </si>
  <si>
    <t>Possibility of poor service delivery due to staffing gaps (e.g., Finance, Logistics, Admin)</t>
  </si>
  <si>
    <t>Slowed internal operations, budget inefficiencies, missed reporting</t>
  </si>
  <si>
    <t>Recruit key operational staff; consider reallocation or secondment</t>
  </si>
  <si>
    <t>Northern - RCC</t>
  </si>
  <si>
    <t>The majority  of the staff funded by one project donor (SLL)</t>
  </si>
  <si>
    <t xml:space="preserve"> 1. Disruption of Operations
A sudden loss of staff (up to 90%) would severely disrupt the division’s ability to carry out its programs and activities.
Key functions, such as coordination, reporting, and stakeholder engagement, could come to a halt.
 2. Loss of Institutional Knowledge and Expertise
Departing staff may take with them critical institutional memory, technical skills, and programmatic know-how.
Rebuilding this capacity could take significant time and resources.
 3. Reduced Program Effectiveness and Impact
With fewer staff, the quality and reach of services, technical assistance, and initiatives may decline.
Performance targets and strategic objectives may not be met.
 4. Reputational Damage
Stakeholders and partners may perceive the division as unstable or poorly managed.
This could diminish trust and deter future collaboration or investment from other donors.
 5. Decreased Staff Morale and Retention
Remaining staff may experience burnout from increased workloads or fear job insecurity.
This can lead to further attrition and difficulty in attracting new talent.
 6. Compromised Donor Relations
If deliverables are not met due to staff losses, the relationship with the primary donor may also deteriorate.
This could result in additional funding cuts or stricter conditions.
 7. Inability to Sustain Long-Term Strategic Goals
Strategic initiatives and long-term projects may be paused or abandoned.
This threatens the division’s overall mission and ability to contribute to the broader organizational mandate.
8- . Loss of hard fought trust</t>
  </si>
  <si>
    <t>1• Proactively engage with multiple donors and international partners to broaden the funding base for HR.
2• Advocate for increased internal budget allocation from core funding or Member States to support key HR roles.
3• Design a phased HR sustainability plan that outlines how positions will transition from donor-funded to institutionally funded.
4• Negotiate longer-term funding commitments with donors (e.g., 3–5 years) with renewal clauses.
5• Document key processes, SOPs, and knowledge from donor-funded staff in central systems.
6• Upskill locally funded or regular staff to gradually fill donor-funded roles.
• Create a contingency or reserve fund to cover staff costs temporarily in case of donor withdrawal.
• Include this risk in the division’s quarterly performance reviews and escalate changes to senior management.</t>
  </si>
  <si>
    <t>non- compliance with donor requirements</t>
  </si>
  <si>
    <t>1- Loss of potential funds
2- This may affection negatively the retention of staff
3- It may also affect negatively the operations</t>
  </si>
  <si>
    <t>1- Lack of awreness of donor compliance rules</t>
  </si>
  <si>
    <t xml:space="preserve">1- Raise the awreness of staff about compliance guidelines
2-Develop guiding documents to orient staff
</t>
  </si>
  <si>
    <t>Director of RCC
PIU</t>
  </si>
  <si>
    <t>Data Breaching</t>
  </si>
  <si>
    <t>1- loss of confidential information and data
2- Loss of the organisation institutaional memory
3- Loss of the organisation added value
4- will affect negatively the organisation collaboration with other partners</t>
  </si>
  <si>
    <t xml:space="preserve">1- Absence of data protection policies
2- Abdence of SoPS
3- Lack of staff awreness
</t>
  </si>
  <si>
    <t xml:space="preserve">1- Raising the awreness of staff through conducting sessions
2- Advocate to have data protection SOPs
</t>
  </si>
  <si>
    <t>Director of RCC
Internal oversight unit</t>
  </si>
  <si>
    <t>Delayed implementation of donor funded projects (Koica)</t>
  </si>
  <si>
    <t>1- Loss of Fund
2- loss of trust
3- It may affect the organisation and RCC repuation</t>
  </si>
  <si>
    <t>1- Inadequate coordination between North RCC staff and implementing partner (AFENET) 
2- Inadequate coordination between North RCC and the MS (Egypt)</t>
  </si>
  <si>
    <t>1- Developping NVs and supporting letter to engage MS
2- Conduct regural meetings with the partner and MS
3- Sharing timely reports</t>
  </si>
  <si>
    <t>Director of RCC
Project Team</t>
  </si>
  <si>
    <t>Delayed Completion of Strategic Level Leadership (SLL) Activities by Implementing Partners (IPs)</t>
  </si>
  <si>
    <t>1- Loss of stakeholder trust
2- Damage to Africa CDC's reputation
3- Potential donor dissatisfaction
4- Reduced impact of leadership strengthening initiatives</t>
  </si>
  <si>
    <t>1- Prolonged procurement procedures
2- Scarcity of construction materials in target areas
3- Delayed activity approvals from Member States</t>
  </si>
  <si>
    <t>misalignment between North RCC goals and partners&amp;donors</t>
  </si>
  <si>
    <t>1- Loss of coordination and fundining opputunities
2- Operations may be affected negatively</t>
  </si>
  <si>
    <t xml:space="preserve">1- Poor stakeholders engagement
2- Lack of publicity </t>
  </si>
  <si>
    <t xml:space="preserve">1- Stakeholders engagement meetins
2- Conduct bilateral meetings with parters
3- Increase the publicity </t>
  </si>
  <si>
    <t>Director of RCC
Partnership team</t>
  </si>
  <si>
    <t>Loss of Funds Due to Inadequate Financial Knowledge or Theft</t>
  </si>
  <si>
    <t>1- Financial loss
2- Breach of financial policies
3- Audit issues and reputational damage</t>
  </si>
  <si>
    <t>1- Lack of financial training for technical staff
2- Unavailability of financial officers during missions
3- Weak internal controls in field operations</t>
  </si>
  <si>
    <t>1- Assign financial officers to all missions
2- Train technical staff on basic financial procedures
3- Strengthen monitoring and accountability mechanisms</t>
  </si>
  <si>
    <t>Director of RCC
Finance team
Project Team</t>
  </si>
  <si>
    <t>Inadequate Funding to Support Member States' Planned Activities</t>
  </si>
  <si>
    <t>1- Inability to provide timely technical assistance to Member States
2- Reduced effectiveness of regional coordination
3- Frustration or loss of confidence from Member States</t>
  </si>
  <si>
    <t>1- Lack of earmarked funds for RCC field support
2- Budget constraints at the institutional level
3- Inflexible or donor-restricted funding</t>
  </si>
  <si>
    <t>1- Identify and mobilize alternative funding sources
2- Advocate for dedicated RCC support budgets in annual planning
3- Engage donors for flexible funding arrangements</t>
  </si>
  <si>
    <t>Director of RCC
Partnership Team
RCC Staff</t>
  </si>
  <si>
    <t>Lack of in country presence</t>
  </si>
  <si>
    <t>1- Delayed  response
2- Poor situational awareness
3- Reduced effectiveness of interventions</t>
  </si>
  <si>
    <t>1- Limited deployment of staff in-country
2- Political or security constraints
3- Insufficient funding for local operations</t>
  </si>
  <si>
    <t>1- Recruit and deploy dedicated in-country focal points
2- Increase funding allocation for local presence
3- Strengthen partnerships with local institutions for support and information sharing</t>
  </si>
  <si>
    <t>Director of RCC
Partnership
HR</t>
  </si>
  <si>
    <t>Not fully operationalizing the North Regional Coordination Centre (RCC)</t>
  </si>
  <si>
    <t>1-Weakened regional coordination leading to delayed and fragmented public health emergency responses.
2-Compromised surveillance systems causing delays in outbreak detection and slower data sharing.
3-Delayed technical and logistical support to Member States, reducing emergency response effectiveness.
4-Reduced political and stakeholder engagement, affecting resource mobilization and commitment.
5-Operational inefficiencies due to inadequate infrastructure, ICT support, and administrative delays.</t>
  </si>
  <si>
    <t>1- Lack of a host country and absence of formal host agreement
2- Insufficient financial and human resources
3- Delays in political endorsement or MoUs
4- Limited stakeholder engagement at national and regional levels
5- Inadequate infrastructure and ICT support
6- Bureaucratic and administrative delays</t>
  </si>
  <si>
    <t>1- Acclerate reaching to a formal host agreement.
2-Mobilize adequate financial and human resources.
3-Accelerate political endorsements and Memorandums of Understanding (MoUs).
4-Enhance continuous stakeholder engagement at national and regional levels.
5-Improve infrastructure and ICT support for communication and data sharing.
6-Streamline bureaucratic and administrative processes to reduce delays.</t>
  </si>
  <si>
    <t xml:space="preserve">Director of RCC
Partnership
Legal
</t>
  </si>
  <si>
    <t>Western - RCC</t>
  </si>
  <si>
    <t>Delayed response to regional public health emergencies</t>
  </si>
  <si>
    <t>Increased morbidity and mortality, reduced credibility, loss of trust among Member States</t>
  </si>
  <si>
    <t>Fund availability, Insufficient surge capacity, limited access to timely data, cross-border coordination challenges</t>
  </si>
  <si>
    <t>Strengthen project management unit and establish clear SOPs for partner coordination</t>
  </si>
  <si>
    <t>Director of Strategic Operations</t>
  </si>
  <si>
    <t>Inadequate RCCE engagement in Member States</t>
  </si>
  <si>
    <t>Public misinformation; low uptake of interventions</t>
  </si>
  <si>
    <t>RCCE not prioritized; Inadequate funding; inconsistent staffing; limited capacity-building</t>
  </si>
  <si>
    <t>Develop and disseminate standardized donor reporting templates; conduct training</t>
  </si>
  <si>
    <t>Compliance Unit</t>
  </si>
  <si>
    <t>Weak cross-border surveillance and information sharing</t>
  </si>
  <si>
    <t>Delayed outbreak detection; fragmented responses</t>
  </si>
  <si>
    <t>Geopolitical instability; lack of formal cross-border agreements</t>
  </si>
  <si>
    <t>Update data privacy policies; introduce mandatory data protection training</t>
  </si>
  <si>
    <t>ICT &amp; Surveillance Division</t>
  </si>
  <si>
    <t>Logistical delays in deploying emergency supplies and staff</t>
  </si>
  <si>
    <t>Delays in emergency response; reputational risk</t>
  </si>
  <si>
    <t>Bureaucratic procurement; customs delays; limited regional warehousing</t>
  </si>
  <si>
    <t>Develop a crisis communication plan; engage local media and social influencers</t>
  </si>
  <si>
    <t>Communications Department</t>
  </si>
  <si>
    <t>Dependency on donor funding for key functions</t>
  </si>
  <si>
    <t>Disruption of activities; inability to scale programs</t>
  </si>
  <si>
    <t>Inadequate core budget; slow donor disbursements</t>
  </si>
  <si>
    <t>Diversify supplier base; establish buffer stock systems</t>
  </si>
  <si>
    <t>Logistics &amp; Procurement Unit</t>
  </si>
  <si>
    <t>Loss of key technical staff</t>
  </si>
  <si>
    <t>Reduced technical capacity; delays in implementation</t>
  </si>
  <si>
    <t>Limited retention strategies; low incentives; burnout</t>
  </si>
  <si>
    <t>Increase donor consultations during strategic planning cycles</t>
  </si>
  <si>
    <t>Office of the Director General</t>
  </si>
  <si>
    <t>Poor coordination with regional partners (e.g. ECOWAS RCSDC)</t>
  </si>
  <si>
    <t>Redundancy; resource inefficiencies</t>
  </si>
  <si>
    <t>Overlapping mandates; limited joint planning</t>
  </si>
  <si>
    <t>Strengthen internal audit and financial tracking mechanisms</t>
  </si>
  <si>
    <t>Finance Department</t>
  </si>
  <si>
    <t>Cybersecurity breach or data loss</t>
  </si>
  <si>
    <t>Data leaks; operational disruptions</t>
  </si>
  <si>
    <t>Weak security protocols; outdated systems</t>
  </si>
  <si>
    <t>Develop climate risk preparedness plans; build partnerships with local agencies</t>
  </si>
  <si>
    <t>Emergency Preparedness Unit</t>
  </si>
  <si>
    <t>Political or civil unrest affecting program delivery</t>
  </si>
  <si>
    <t>Security risks; cancelled missions or workshops</t>
  </si>
  <si>
    <t>Instability in host or partner countries</t>
  </si>
  <si>
    <t>Establish regional contingency plans and early warning monitoring systems</t>
  </si>
  <si>
    <t>Partnerships &amp; Regional Coordination</t>
  </si>
  <si>
    <t>Public misinformation or misinterpretation of Africa CDC WA RCC’s role</t>
  </si>
  <si>
    <t>Erosion of trust; diminished cooperation</t>
  </si>
  <si>
    <t>Weak media engagement; lack of unified messaging</t>
  </si>
  <si>
    <t>Fragmented coordination with RECs and health partners</t>
  </si>
  <si>
    <t>Reduced regional synergy and effectiveness of joint initiatives</t>
  </si>
  <si>
    <t>Competing mandates or priorities among stakeholders</t>
  </si>
  <si>
    <t>Lack of formalized agreements with key stakeholders</t>
  </si>
  <si>
    <t>Weak accountability and unreliable collaboration</t>
  </si>
  <si>
    <t>Delays in signing MoUs or absence of legal frameworks</t>
  </si>
  <si>
    <t>Disruption in long-term collaboration with partners</t>
  </si>
  <si>
    <t>Abandonment or downsizing of joint programs</t>
  </si>
  <si>
    <t>Resource constraints or shifts in policy focus among partners</t>
  </si>
  <si>
    <t>Regional knowledge hub lacks critical inputs</t>
  </si>
  <si>
    <t>Incomplete or biased regional insights</t>
  </si>
  <si>
    <t>Reluctance or legal barriers to data sharing</t>
  </si>
  <si>
    <t>Low uptake of knowledge products</t>
  </si>
  <si>
    <t>Knowledge is not applied in decision-making</t>
  </si>
  <si>
    <t>Lack of translation, simplification, or contextualization</t>
  </si>
  <si>
    <t>Dissemination of outdated or poor-quality information</t>
  </si>
  <si>
    <t>Loss of trust in the platform and poor decision-making</t>
  </si>
  <si>
    <t>Weak validation and curation processes</t>
  </si>
  <si>
    <t>Weak regional coordination for surveillance and response</t>
  </si>
  <si>
    <t>Delayed or uncoordinated responses to health events</t>
  </si>
  <si>
    <t>Limited political will or logistical capacity</t>
  </si>
  <si>
    <t>Deterioration of RISLNET functionality</t>
  </si>
  <si>
    <t>Inability to maintain the network or respond to emergencies</t>
  </si>
  <si>
    <t>Lack of sustainable financing</t>
  </si>
  <si>
    <t>Unequal participation in RISLNET</t>
  </si>
  <si>
    <t>Coverage gaps and ineffective network operations</t>
  </si>
  <si>
    <t>Variable commitment and resource availability across MS</t>
  </si>
  <si>
    <t>Inconsistent implementation of continental strategies</t>
  </si>
  <si>
    <t>Fragmented or misaligned interventions</t>
  </si>
  <si>
    <t>Insufficient orientation of staff and MS stakeholders</t>
  </si>
  <si>
    <t>Duplication or gaps in public health efforts</t>
  </si>
  <si>
    <t>Inefficient resource use and weak outcomes</t>
  </si>
  <si>
    <t>National plans not harmonized with continental strategies</t>
  </si>
  <si>
    <t>Waning MS commitment to continental strategies</t>
  </si>
  <si>
    <t>Reduced support for Africa CDC regional mandates</t>
  </si>
  <si>
    <t>Political transitions in MS</t>
  </si>
  <si>
    <t>Underfunding or termination of regional programs</t>
  </si>
  <si>
    <t>Inability to implement key initiatives</t>
  </si>
  <si>
    <t>Donor fatigue or shifting global priorities</t>
  </si>
  <si>
    <t>Low visibility and ownership of RCC interventions</t>
  </si>
  <si>
    <t>Reduced stakeholder trust and engagement</t>
  </si>
  <si>
    <t>Poor communication of RCC's role</t>
  </si>
  <si>
    <t>Loss of institutional memory and continuity</t>
  </si>
  <si>
    <t>Delays or disruptions in ongoing projects</t>
  </si>
  <si>
    <t>High turnover of RCC or MS staff</t>
  </si>
  <si>
    <t>Hindered regional monitoring and data flow</t>
  </si>
  <si>
    <t>Incomplete data and delayed responses</t>
  </si>
  <si>
    <t>Poor integration with national health information systems</t>
  </si>
  <si>
    <t>HEF</t>
  </si>
  <si>
    <t>Dependence on a Single Donor</t>
  </si>
  <si>
    <t>Sudden operational paralysis.
Staff contract non-renewal and brain drain.
Failure to deliver outputs and meet FCDO logframe milestones.
Damage to Africa CDC’s credibility and donor trust</t>
  </si>
  <si>
    <t>Delayed negotiation with other partners (AFD, Wellcome, WB).
Absence of institutional core budget or Member State co-financing. 
Short-term project design without transition plan.</t>
  </si>
  <si>
    <t>Develop and implement a donor diversification strategy.
Secure institutional co-funding from AU and Member States.
Establish HR sustainability plan (transitioning donor-funded roles).
Engage FCDO for multi-year commitments with renewal clauses.</t>
  </si>
  <si>
    <t xml:space="preserve">Head of Division
Parthnership division 
</t>
  </si>
  <si>
    <t>Under-staffed Division</t>
  </si>
  <si>
    <t>Delays in procurement, travel, reporting, and disbursements.
Staff burnout and turnover.
Quality decline in deliverables.
Missed FCDO milestones.</t>
  </si>
  <si>
    <t>Delayed HR recruitment under AU system.
Dependence on short-term consultants.
Multiple concurrent workstreams without delegation.</t>
  </si>
  <si>
    <t>Delays in Deliverables</t>
  </si>
  <si>
    <t>Missed FCDO reporting deadlines.
🔴 Reduced absorption rate.
🔴 Loss of confidence from partners.</t>
  </si>
  <si>
    <t>Complex internal approval processes (procurement, travel).
Inadequate integrated workplan.
Limited delegation of authority for field activities.</t>
  </si>
  <si>
    <t>Integrated quarterly Gantt review.
Early procurement planning and blanket approvals.
Assign focal leads per deliverable.</t>
  </si>
  <si>
    <t>Head of HEF; Project Coordinator</t>
  </si>
  <si>
    <t>Non-adherence to FCDO Standards</t>
  </si>
  <si>
    <t>Adverse audit findings and claw-back of funds.
Suspension or termination of grant.
Institutional reputation loss.</t>
  </si>
  <si>
    <t>Limited staff awareness of donor-specific compliance rules.
Absence of a live compliance register.
Fragmented oversight of sub-grantees</t>
  </si>
  <si>
    <t>Create HEF compliance register.
Conduct quarterly compliance reviews.
Train all staff on FCDO rules.</t>
  </si>
  <si>
    <t>Head of HEF; Legal; Grants Management</t>
  </si>
  <si>
    <t>Limited Visibility of HEF Results</t>
  </si>
  <si>
    <t>Weak recognition by AU leadership and partners.
Donor perception of low performance.
Missed opportunities for new partnerships.</t>
  </si>
  <si>
    <t>No dedicated communications focal point.
Limited dissemination of reports and outputs.
No joint FCDO–CDC visibility plan.</t>
  </si>
  <si>
    <t>Develop FCDO–HEF visibility plan.
Publish quarterly briefs.
Engage Communication officer Division.</t>
  </si>
  <si>
    <t>Head of HEF</t>
  </si>
  <si>
    <t>Lack of Sustainability Plan</t>
  </si>
  <si>
    <t>Collapse of technical platforms.
Wasted capacity and lost momentum.
Erosion of Africa CDC’s strategic credibility.</t>
  </si>
  <si>
    <t>Absence of post-funding transition plan.
Weak institutional embedding in AU systems.
Limited Member State financing.</t>
  </si>
  <si>
    <t>Develop sustainability roadmap.
Integrate core functions into AU budgets.
Build political ownership through Compact Mechanism.</t>
  </si>
  <si>
    <t>Political/Economic Instability</t>
  </si>
  <si>
    <t>Activity cancellations or postponements.
Reduced national commitment.
Re-programming needs.</t>
  </si>
  <si>
    <t>Election cycles, strikes, inflation.
Changing ministerial leadership.
Weak fiscal space.</t>
  </si>
  <si>
    <t>Poor Data Availability and Quality</t>
  </si>
  <si>
    <t>Unreliable regional comparisons.
Delayed reports and dashboards.
Reduced analytical credibility.</t>
  </si>
  <si>
    <t>Variability in methodologies.
Limited capacity at country level.</t>
  </si>
  <si>
    <t>Provide technical support to NSOs.
Conduct cross-checks with STATAFRIC.</t>
  </si>
  <si>
    <t>Procurement and Travel Bottlenecks</t>
  </si>
  <si>
    <t>Activity postponement.
Under-absorption of funds.
Reduced efficiency.</t>
  </si>
  <si>
    <t>Exchange-Rate Fluctuation</t>
  </si>
  <si>
    <t>Budget erosion.
Reduced purchasing power for workshops and missions.</t>
  </si>
  <si>
    <t>Delayed conversion.
No hedging mechanism.
Inflation volatility in implementation countries.</t>
  </si>
  <si>
    <t>Ineligible Expenditures</t>
  </si>
  <si>
    <t>Reimbursement requests.
Audit flags.
Damage to financial credibility.</t>
  </si>
  <si>
    <t>Lack of training on cost eligibility.
Poor supporting documentation.
Rapid workplan revisions without donor approval.</t>
  </si>
  <si>
    <t>Eligibility matrix and checklist.
Monthly finance–programme reviews.
Digital archiving of supporting docs.</t>
  </si>
  <si>
    <t xml:space="preserve">Finance, Partneships </t>
  </si>
  <si>
    <t>Perceived Duplication with WHO/WB</t>
  </si>
  <si>
    <t>Tensions and data access restrictions.
Diminished perceived added value.</t>
  </si>
  <si>
    <t>Inconsistent communication.
Lack of coordination mechanisms.</t>
  </si>
  <si>
    <t>MoUs defining complementarity.
Joint technical working groups.
Shared dashboards with attribution.</t>
  </si>
  <si>
    <t>Partnerships</t>
  </si>
  <si>
    <t>Unplanned activities added due to ad-hoc country requests or political pressure.</t>
  </si>
  <si>
    <t>Diluted focus; missed deliverables.
Overspending or reallocation needs.</t>
  </si>
  <si>
    <t>Absence of change-control mechanism.
Reactive decision-making.</t>
  </si>
  <si>
    <t>Formalize change-control process.
Cap number of activities per quarter.
Monthly scope review with FCDO.</t>
  </si>
  <si>
    <t>Knowledge Loss / Single-Point Dependency</t>
  </si>
  <si>
    <t>Work stoppage; re-training costs.
Quality inconsistency across outputs.</t>
  </si>
  <si>
    <t>Small team; undocumented processes.
Short-term contracts.</t>
  </si>
  <si>
    <t>SOPs for all workflows.
Staff pairing / shadowing.
Knowledge-transfer plans.</t>
  </si>
  <si>
    <t>Epidemic Diversion</t>
  </si>
  <si>
    <t>Activity delays; reallocation of funds.
Reduced delivery of FCDO logframe outputs.</t>
  </si>
  <si>
    <t>CDC emergency mandate.
Lack of surge capacity.</t>
  </si>
  <si>
    <t>Southern RCC</t>
  </si>
  <si>
    <t>Delay in payment of office rentals</t>
  </si>
  <si>
    <t>Operational disruptions, reputational damage for Africa CDC within the host country, potential legal notices, and risk of office lockouts.</t>
  </si>
  <si>
    <t>Bureaucratic bottlenecks and lengthy disbursement cycles at HQ finance level; delays in processing lease renewals through centralized systems.</t>
  </si>
  <si>
    <t>Streamline financial disbursement processes, establish dedicated local funds for critical operational expenses, and proactively manage lease renewal timelines.</t>
  </si>
  <si>
    <t>Late payments to vendors, and service disruption</t>
  </si>
  <si>
    <t>Inadequate financial resources
Bureaucratic bottlenecks and lengthy disbursement cycles at HQ finance level</t>
  </si>
  <si>
    <t>Advocate for simplified financial clearance procedures, establish a regional operational fund with direct disbursement authority, and improve cash flow forecasting.</t>
  </si>
  <si>
    <t>No country presence in member states</t>
  </si>
  <si>
    <t>Weakened direct coordination with National Public Health Institutes (NPHIs); over-reliance on virtual coordination; delayed technical assistance during crises.</t>
  </si>
  <si>
    <t>Structural limitations in the Africa CDC organic framework restricting regional centers from hiring or deploying permanent, dedicated country-level field officers.</t>
  </si>
  <si>
    <t>Advocate for country-level presence, establish liaison officers within NPHIs, and enhance virtual coordination tools and protocols.</t>
  </si>
  <si>
    <t>Delays in the procurement processes, securing vendor, award process and release of funds to service meetings, workshop</t>
  </si>
  <si>
    <t>Suboptimal event execution, inflated last-minute travel/venue costs (flights/hotels), compromised stakeholder attendance, low budget utilization.</t>
  </si>
  <si>
    <t>Complex, centralized procurement thresholds requiring multi-departmental sign-offs at HQ; lack of pre-qualified, regionally available vendors on long term agreements</t>
  </si>
  <si>
    <t>Decentralize procurement authority for regional activities, establish a regional roster of pre-qualified vendors, and streamline approval processes.</t>
  </si>
  <si>
    <t>Absence of a dedicated emergency fund at the RCC prevents timely response to regional outbreaks</t>
  </si>
  <si>
    <t>Inability to deploy rapid response teams or deliver emergency countermeasures within the critical initial window, leading to preventable disease spread.</t>
  </si>
  <si>
    <t>Emergency contingency funds are held and controlled exclusively at HQ level, requiring formal emergency declarations and lengthy bureaucratic escalations.</t>
  </si>
  <si>
    <t>Advocate for the establishment of a dedicated regional emergency fund with clear disbursement triggers and simplified access protocols.</t>
  </si>
  <si>
    <t>Center - RCC</t>
  </si>
  <si>
    <t>Risk of interinstitutional competition and inefficiency</t>
  </si>
  <si>
    <t>i. Ineffective collaboration between RECs and CCRs leads to wasted resources and inefficiency. ii. Conflicts and strained relations between RECs and CCRs undermine trust and hinder progress. iii. Insufficient collaboration and coordination lead to ineffective health programs and poor health outcomes.</t>
  </si>
  <si>
    <t>i. Lack of a joint coordination plan or agreement leading to duplication and inefficiencies. ii. Ineffective collaboration due to an imprecise definition of roles and responsibilities between the RECs and the CCR. iii. Insufficient operational capacity of the CCR limiting its ability to collaborate effectively with the RECs.</t>
  </si>
  <si>
    <t>i. Develop a joint coordination plan and collaboration framework to clarify roles and responsibilities. ii. Strengthen the operational capacities of the CCR to improve its ability to collaborate effectively with the RECs. iii. Integrate the CCR into the governance structures of the RECs and foster regular communication and stakeholder engagement to promote trust, harmonization, and effective collaboration.</t>
  </si>
  <si>
    <t>RCC / RECs / Africa CDC HQ</t>
  </si>
  <si>
    <t>Insufficient use and utilization of public health resources</t>
  </si>
  <si>
    <t>i. Decreased effectiveness of public health programs ii. Inefficient use of resources iii. Delay in responding to public health emergencies iv. Declining quality of health services v. Increased morbidity and mortality rates</t>
  </si>
  <si>
    <t>i. Insufficient funding or resource allocation, including limited budgetary autonomy for the CCR and the absence of a dedicated emergency fund. ii. Lack of coordination and communication among stakeholders, including delays in requests and obtaining support from headquarters. iii. Inadequate infrastructure, equipment, or tools for effective intervention. iv. Limited expertise or technical capacity, including inadequate procedures. v. Ineffective policies or regulatory frameworks, including the lack of operationalization of the Steering Committee (ReSCO).</t>
  </si>
  <si>
    <t>i. Create an emergency fund dedicated to the RCC, accompanied by an operational procedures manual outlining guidelines for the effective use of funds. ii. Develop and implement a coordination framework to improve communication among stakeholders. iii. Conduct an assessment of infrastructure and equipment needs to identify gaps. iv. Develop standard operating procedures (SOPs) for the mobilization and use of public health resources. v. Operationalize the steering committee (ReSCO) to ensure strategic direction and oversight.</t>
  </si>
  <si>
    <t>RCC / ReSCO / Africa CDC HQ</t>
  </si>
  <si>
    <t>Obstacles to knowledge sharing and data exchange</t>
  </si>
  <si>
    <t>i. Late or inadequate response to public health emergencies ii. Limited access to essential information and knowledge iii. Inefficient use of resources and duplication of efforts iv. Reduced collaboration and coordination among stakeholders v. Decreased regional public health capacity and resilience</t>
  </si>
  <si>
    <t>i. Insufficient digital infrastructure or platforms ii. Limited expertise or technical capabilities iii. Inadequate data management and security iv. Insufficient communication and coordination among stakeholders v. Limited commitment and participation of Member States and stakeholders vi. Governance issues hindering the negotiation and implementation of data-sharing agreements.</t>
  </si>
  <si>
    <t>i. Develop and implement a robust digital platform for knowledge sharing and collaboration; ii. Provide training and capacity building for stakeholders; iii. Establish clear data management and security protocols; iv. Promote regular communication and coordination among stakeholders; v. Develop mobilization strategies to encourage the participation of Member States and other stakeholders; vi. Collaborate with Member States to address governance issues and facilitate the negotiation and implementation of data sharing agreements.</t>
  </si>
  <si>
    <t>RCC / National Counterparts / Member States</t>
  </si>
  <si>
    <t>Funding constraints</t>
  </si>
  <si>
    <t>i. Delay in the implementation of planned activities; ii. Delay in the process of developing new partnerships; iii. Low visibility and presence of Africa CDC at the regional and country levels; iv. Damage to institutional reputation</t>
  </si>
  <si>
    <t>i. Insufficient mobilization of financial resources at the local level ii. Financial dependence on Africa CDC headquarters iii. Centralization of budgetary decisions and operations iv. Low annual budget allocation to the RCC Board by headquarters.</t>
  </si>
  <si>
    <t>Develop a strategy for mobilizing financial resources at the regional level. Advocate for an increase in the annual budget allocation. Decentralize budgetary operations to the regional level. Advocate with headquarters to prioritize support for partner engagement at the regional level. Decentralize partner engagement at the regional level.</t>
  </si>
  <si>
    <t>Head of RCC Division / PIC Africa / Africa CDC Directorate</t>
  </si>
  <si>
    <t>Vaccine stock shortages in member states</t>
  </si>
  <si>
    <t>i. Low vaccination coverage rates; ii. Resurgence of epidemics and public health crises exposing individuals and communities to risks; iii. Significant morbidity and mortality with considerable economic consequences.</t>
  </si>
  <si>
    <t>i. Delays in placing vaccine orders by Member States. ii. Non-renewal of the contract of the vaccine logistics monitoring expert at the CCR AC level. iii. Lack of technical expertise in supply chain management and weak capacity to effectively conduct supply chain processes.</t>
  </si>
  <si>
    <t>i. Renew the contract of the CCR AC vaccine logistics monitoring expert. ii. Streamline and standardize ordering processes. iii. Utilize digital platforms for order placement to reduce administrative burdens. iv. Train staff in supply chain management and provide technical support.</t>
  </si>
  <si>
    <t>Africa CDC HQ / RCC</t>
  </si>
  <si>
    <t>Weak early warning systems</t>
  </si>
  <si>
    <t>i. Delayed detection and response to epidemics. ii. Increased morbidity and mortality rates are possible. iii. Epidemics and outbreaks could spread rapidly. iv. Public health crises could occur. v. Economic losses could result. vi. Regional health security and stability could be compromised.</t>
  </si>
  <si>
    <t>i. Weak implementation of event-based surveillance (EBS). ii. Limited capacities, including insufficient resources (human, financial, and technological) and inadequate skills. iii. Ineffective coordination between the human, animal, and environmental health sectors can hinder a comprehensive "One Health" response. iv. Limited cross-border collaboration. v. Formal data-sharing mechanism not yet in place. vi. Multiple digital platforms for managing surveillance data. vii. [Expanded, Aug 2026] Full technical interoperability between national systems, regional platforms and Africa CDC systems remains under development, with continued reliance on semi-automated/manual data exchange (2026 self-assessment, Section 4.1). viii. [Expanded] Data-quality assessments and corrective-action follow-up are not yet uniformly documented across Member States (Section 4.2, 4.7).</t>
  </si>
  <si>
    <t>i. Strengthen the implementation of EBS in Member States; ii. Improve human, financial, and technological resources for disease surveillance and response; iii. Operationalize One Health platforms at the regional and country levels; iv. Improve cross-border collaboration and coordination; advocate for accelerating the health data sharing process; and strengthen the implementation of DHIS2 platforms in Member States. v. [Expanded, Aug 2026] Develop a regional interoperability roadmap linking national systems, DHIS2/EMS and Africa CDC platforms. vi. [Expanded] Establish a standardized regional mechanism to log data-quality issues, responsible parties, deadlines and resolution status.</t>
  </si>
  <si>
    <t>RCC / Member States / Africa CDC HQ</t>
  </si>
  <si>
    <t>Reduced influence on health policy</t>
  </si>
  <si>
    <t>i. The misalignment of countries' health policies with the Africa CDC's agenda for health sovereignty and security. ii. The institution's low visibility and credibility in the development of member states' public health policies and strategies. iii. Africa CDC is not cited in many strategic documents.</t>
  </si>
  <si>
    <t>i. Competing priorities within the organization can divert attention. ii. Insufficient budget dedicated to the participation of regional leadership and country-based staff in sharing the vision and agenda of Africa CDC. iii. Lack of mobile logistics for country-based staff. iv. Weakness in the evaluation of health policies and programs. v. Lack of representation of Africa CDC through country offices. vi. The institution's relative youth.</t>
  </si>
  <si>
    <t>i. Allocate sufficient resources to support the participation of regional leadership and country offices in strategic forums of countries and regional partners. ii. Accelerate the establishment of Africa CDC country offices. iii. Strengthen institutional strategic communication. iv. Monitor and evaluate the impact of these guidelines on policy decisions in member states and adjust as needed.</t>
  </si>
  <si>
    <t>RCC</t>
  </si>
  <si>
    <t>Delays in responding to requests from Member States to address epidemics</t>
  </si>
  <si>
    <t>i. Loss of confidence in the Africa CDC's capacity to support member states in emergency situations. ii. Low credibility of the Africa CDC with member states. iii. Reduced effectiveness in addressing health challenges. iv. Low implementation rate of member states' public health programs.</t>
  </si>
  <si>
    <t>i. Lengthy and complex approval process at the Africa CDC level ii. Lack of a regional fund to respond to epidemics at the regional level iii. Limited capacities and resources iv. Conflicting priorities</t>
  </si>
  <si>
    <t>i. Streamline and simplify approval processes ii. Equip CCRs with a regional fund</t>
  </si>
  <si>
    <t>Limitations in communication, coordination, knowledge sharing, and equitable access to information</t>
  </si>
  <si>
    <t>Difficulties in coordination and participation, delays in information sharing, poor understanding of guidelines and procedures, misinterpretations and reduced effectiveness of regional interventions, and non-use of Africa CDC strategic documents by member states</t>
  </si>
  <si>
    <t>1. Linguistic diversity in the region (French, Portuguese, Spanish), 2. Limited availability of multilingual strategic documents and interpretation/translation services, 3. Limited number of interpreters within the Africa CDC institution</t>
  </si>
  <si>
    <t>1. Recruit interpreters at Africa CDC headquarters to meet the interpretation needs of different regions and facilitate multilingual communication. 2. Engage external providers specializing in interpretation and translation, particularly for regional meetings, workshops, and activities requiring specific language services. 3. Develop and make available Africa CDC's strategic and institutional documents in the official languages of the African Union to facilitate their adoption and use by all Member States and stakeholders.</t>
  </si>
  <si>
    <t>RCC / Africa CDC HQ</t>
  </si>
  <si>
    <t>Prolonged vacancy and instability in key positions</t>
  </si>
  <si>
    <t>1. Interruption or slowdown of activities, 2. Loss of institutional knowledge, 3. Work overload, 4. Weakening of coordination with Member States and partners.</t>
  </si>
  <si>
    <t>1. Departures or non-renewal of contracts, 2. Long recruitment delays, 3. Short-term contracts, 4. Unavailability of local resources to secure certain critical positions</t>
  </si>
  <si>
    <t>1. Implement a succession plan for critical positions and ensure a systematic transfer of knowledge before departures. 2. Prioritize contracts of sufficient duration to ensure business continuity and strengthen staff retention. 3. Strengthen the capacity to mobilize local resources</t>
  </si>
  <si>
    <t>Obsolescence and incompleteness of regional and bilateral legal frameworks</t>
  </si>
  <si>
    <t>1. Limitation of operational autonomy, 2. Exposure to legal risks and delays in the implementation of joint initiatives.</t>
  </si>
  <si>
    <t>1. Headquarters agreement dating from 2019, not yet revised. 2. Absence of bilateral Memoranda of Understanding (MoUs) signed directly with regional health organizations. 3. Delays in finalizing and signing the MoU between Africa CDC and ECCAS. 4. Absence of a consolidated register of agreements.</t>
  </si>
  <si>
    <t>1. Formally relaunch the Headquarters Agreement review process with the Gabonese authorities and the AU. 2. Accelerate negotiations for the finalization and signing of the MoU with ECCAS. 3. Initiate/accelerate MoUs with regional health organizations (ECCAS, FAO, etc.). 4. Establish a formal register of legal agreements.</t>
  </si>
  <si>
    <t>Institutional vacuum and break in the presence of Africa CDC in member states</t>
  </si>
  <si>
    <t>1. Loss of operational proximity 2. Deterioration of coordination with national authorities 3. Inadequate consideration of local public health needs</t>
  </si>
  <si>
    <t>Closure of the SLL/Mastercard Foundation funding program in December 2025. No offices or permanent staff in 4 member states (Cameroon, Chad, Equatorial Guinea, Sao Tome and Principe).</t>
  </si>
  <si>
    <t>1. Advocate with Africa CDC leadership for the expansion and deployment of permanent staff in the four countries not yet covered. 2. Establish periodic technical support missions pending permanent deployment. 3. Strengthen collaboration with Africa CDC focal points at the Ministry of Health in these countries. 4. Reassign these four countries to staff based at the Libreville office.</t>
  </si>
  <si>
    <t>Risk of inadequate communication and institutional reputation</t>
  </si>
  <si>
    <t>Low visibility of CCR AC interventions, underutilization of institutional communication tools</t>
  </si>
  <si>
    <t>Lack of a communication strategy for the CCR AC; lack of a dedicated communication expert (communication function currently being handled on an interim basis).</t>
  </si>
  <si>
    <t>1. Recruit a communications expert. 2. Develop a communications strategy for the CCR with the support of the headquarters communications division.</t>
  </si>
  <si>
    <t>Delayed signing of the health data sharing agreement between Africa CDC and member states</t>
  </si>
  <si>
    <t>1. Delayed early warning. 2. Increased spread of diseases across borders. 3. Limited risk analysis and data-driven decision-making. 4. Delays in activating coordination mechanisms and implementing joint actions between Member States.</t>
  </si>
  <si>
    <t>Concerns regarding confidentiality, sovereignty, and the risk of misuse; failure to designate national focal points for monitoring; low level of political commitment</t>
  </si>
  <si>
    <t>1. High-level advocacy in Member States for the signing of the agreement. 2. Close monitoring of the implementation of the Libreville roadmap to accelerate the signing of the data sharing agreement. 3. Legal assistance to certain Member States (Sao Tome and Principe).</t>
  </si>
  <si>
    <t>DRC's participation in regional mechanisms is inconsistent.</t>
  </si>
  <si>
    <t>Delays in the implementation of joint activities; weak contribution to regional initiatives; poor alignment of national priorities with the Africa CDC agenda; insufficient consideration of priority country needs; delays in data sharing and implementation of cross-border actions.</t>
  </si>
  <si>
    <t>Size and complexity of the country; multiplicity of actors; complex inter-institutional coordination.</t>
  </si>
  <si>
    <t>Strengthen coordination with national institutions; Hold a national stakeholder engagement meeting with the Ministry of Health (Directors of Health Departments and Programs); Strengthen the capacity of the Africa CDC focal point at the Ministry of Health; Regularly involve the Country Director</t>
  </si>
  <si>
    <t>RCC / Country Office – DRC</t>
  </si>
  <si>
    <t>Linguistic risk – Equatorial Guinea and São Tomé and Príncipe</t>
  </si>
  <si>
    <t>Limited participation in regional exchanges, difficulty accessing documents, weak integration into regional initiatives.</t>
  </si>
  <si>
    <t>Portuguese and Spanish as official languages; limited availability of documents translated into Portuguese and Spanish; limited human resources for interpretation.</t>
  </si>
  <si>
    <t>Translation of key documents into Portuguese and Spanish; mobilization of interpreters for consultative meetings with these two countries; targeted strategic missions; capacity building for the national focal point</t>
  </si>
  <si>
    <t>i. Compromise of confidentiality, integrity or availability of regional public health and surveillance data, including personal and outbreak-sensitive information. ii. Disruption of surveillance, early-warning and coordination platforms during an active health event. iii. Legal and reputational exposure vis-à-vis Member States over data-sovereignty and confidentiality obligations. iv. Loss of Member State and partner trust, undermining data-sharing agreements under negotiation (see related risk on delayed DSA signature).</t>
  </si>
  <si>
    <t>i. Data governance, cybersecurity, data-sovereignty and information-classification policies exist in principle but are not consistently formalized, applied or harmonized across Member States and platforms (2026 self-assessment, Section 4.5); the RCC itself could not confirm its cybersecurity compliance level and stated a dedicated technical assessment is required. ii. Periodic, documented review of user access rights to surveillance systems is not confirmed as systematically carried out, particularly on staff departure or role change (Section 4.6). iii. Backup, business-continuity and disaster-recovery arrangements for the main monitoring and reporting platforms are not confirmed or tested at the regional level (Section 4.8). iv. Increasing interconnectedness of national, regional and continental systems widens the attack surface without a corresponding increase in oversight capacity.</t>
  </si>
  <si>
    <t>Cybersecurity</t>
  </si>
  <si>
    <t>i. Commission a dedicated cybersecurity and data-governance compliance assessment of RCC and regional platforms, as recommended in the 2026 self-assessment. ii. Formalize and harmonize data governance, confidentiality, access-control and information-classification policies across Member States and platforms. iii. Implement periodic, documented user-access reviews tied to HR separation/role-change processes. iv. Test backup and disaster-recovery procedures for surveillance/reporting platforms and document a platform-specific business continuity plan. v. Establish an incident-management and breach-notification protocol with defined escalation to Africa CDC HQ IT/cybersecurity function.</t>
  </si>
  <si>
    <t>RCC / Africa CDC MIS-Digitalization Division / OIO</t>
  </si>
  <si>
    <t>Weak interoperability, data-quality assurance and continuity of surveillance/information systems</t>
  </si>
  <si>
    <t>i. Delayed or incomplete detection and reporting of public health events due to fragmented, semi-automated data exchange. ii. Reduced confidence in and use of surveillance data for decision-making where quality issues are not systematically tracked to closure. iii. Extended service disruption or data loss if monitoring/reporting platforms fail without tested recovery arrangements. iv. Uneven visibility of Member State performance, delaying targeted support to lagging countries.</t>
  </si>
  <si>
    <t>i. Full technical interoperability between national systems, regional platforms and Africa CDC systems remains under development; Member States use varied tools (DHIS2 and others) with differing levels of digitalization (self-assessment Section 4.1). ii. Data quality assessments and corrective-action follow-up are not yet uniformly documented or standardized across Member States (Section 4.2, 4.7). iii. Existence, coverage and testing frequency of backup, business-continuity and disaster-recovery mechanisms for the main monitoring platforms are not confirmed at regional level (Section 4.8). iv. Staff turnover and connectivity/equipment constraints necessitate continuous retraining on digital tools (Section 4.4).</t>
  </si>
  <si>
    <t>i. Develop and implement a regional interoperability roadmap linking national systems, DHIS2/EMS and Africa CDC platforms. ii. Establish a standardized regional mechanism to log data-quality issues, responsible parties, deadlines and resolution status. iii. Map and formally test backup, business-continuity and disaster-recovery arrangements for all core surveillance/reporting platforms. iv. Institutionalize recurring digital-tools training tied to staff onboarding and turnover.</t>
  </si>
  <si>
    <t>RCC / Member States / Africa CDC MIS-Digitalization Division</t>
  </si>
  <si>
    <t>Undefined laboratory-to-surveillance reporting linkage (RISLNET)</t>
  </si>
  <si>
    <t>i. Delay between laboratory confirmation of a pathogen/event and its formal reporting to surveillance services and decision-makers. ii. Slower activation of public health measures following confirmed cases. iii. Reduced traceability of the confirmation-to-response pathway outside declared emergencies.</t>
  </si>
  <si>
    <t>i. No clearly defined, standing process linking laboratory confirmation to surveillance reporting; ad hoc liaison mechanisms are only established during declared public health emergencies (self-assessment Section 5.5, rated "No"). ii. Reliance on emergency-activated coordination rather than a documented standard operating procedure applicable at all times.</t>
  </si>
  <si>
    <t>i. Develop and formalize a standing SOP and data-flow protocol linking RISLNET reference laboratories to surveillance/EBS reporting, applicable outside as well as during emergencies. ii. Pilot the protocol with reference laboratories (e.g., CIRMF, Lambaréné) and RISLNET focal points, then extend regionally. iii. Incorporate the protocol into RISLNET's operational framework and annual coordination review.</t>
  </si>
  <si>
    <t>RCC / RISLNET Working Group / National Reference Laboratories</t>
  </si>
  <si>
    <t>Unformalized data governance, information classification and cross-border data-sovereignty controls</t>
  </si>
  <si>
    <t>i. Unauthorized disclosure or misuse of sensitive public-health and personal data across a nine-country, multi-platform region. ii. Breach of Member State data-sovereignty expectations, jeopardizing ongoing negotiation of the regional Health Data Sharing Agreement. iii. Inconsistent information classification undermines confidence in cross-border data exchange during emergencies. iv. Potential legal and reputational liability for Africa CDC in affected Member States.</t>
  </si>
  <si>
    <t>i. Data governance principles exist at institutional and national level but their formalization, application and harmonization vary significantly between Member States and platforms (self-assessment Section 4.5 — left unrated by the RCC itself). ii. No confirmed regional mechanism for information classification or incident management. iii. Confidentiality, sovereignty and misuse concerns already identified as a barrier to signing the Health Data Sharing Agreement (only 2 of 9 Member States signed) reflect an unresolved governance gap rather than a purely legal one. iv. No dedicated cybersecurity/data-governance specialist function embedded at RCC level.</t>
  </si>
  <si>
    <t>i. Develop and adopt a harmonized regional data-governance and information-classification framework, aligned across Member States and platforms. ii. Use the Health Data Sharing Agreement negotiation process (Libreville roadmap) to jointly resolve confidentiality/sovereignty concerns with data-governance safeguards. iii. Establish a regional incident-management protocol with clear escalation and notification steps. iv. Advocate for a dedicated data-governance/cybersecurity focal point at RCC level, in coordination with Africa CDC MIS-Digitalization Division.</t>
  </si>
  <si>
    <t>RCC / Africa CDC MIS-Digitalization Division / Member States</t>
  </si>
  <si>
    <t>Donor concentration risk in RCC staff funding</t>
  </si>
  <si>
    <t>i. Continuity of RCC operations is exposed if MCF/IMST funding priorities shift or these mechanisms are not renewed. ii. Potential loss of critical staff and institutional knowledge on short notice. iii. Reduced ability to deliver the RCC's mandate and multi-year plan if a dominant funding source is withdrawn or reduced.</t>
  </si>
  <si>
    <t>i. 55% of RCC staff positions are funded through MCF (Mastercard Foundation) and IMST resources rather than the Africa CDC core budget (2026 self-assessment, Section 3.7). ii. No diversified, RCC-level staffing-funding strategy to reduce concentration in one or two donor mechanisms. iii. Closure of the SLL/Mastercard Foundation funding programme in December 2025 (see related institutional-presence risk, row #12) illustrates the materiality of this exposure.</t>
  </si>
  <si>
    <t>i. Develop a staffing-funding diversification strategy reducing reliance on any single donor mechanism. ii. Advocate for a higher share of core-budget-funded positions for functions critical to RCC continuity. iii. Maintain a contingency/transition plan for positions funded by time-limited donor programmes, including advance-notice triggers ahead of funding-cycle expiry.</t>
  </si>
  <si>
    <t>RCC / Africa CDC HR / Africa CDC Resource Mobilization</t>
  </si>
  <si>
    <t>Compliance monitoring not yet formalized (AU rules and donor requirements)</t>
  </si>
  <si>
    <t>i. Undetected non-compliance with African Union rules or donor requirements until raised in an external audit or donor review. ii. Delayed corrective action due to lack of a systematic tracking mechanism. iii. Reputational and funding risk with donors if compliance gaps surface externally rather than being self-identified.</t>
  </si>
  <si>
    <t>i. The RCC does not yet have a fully formalized and consolidated compliance-monitoring system (2026 self-assessment, Section 8.3, rated "No"). ii. No systematic documentation of applicable requirements, responsible persons, compliance status, corrective actions and reporting deadlines.</t>
  </si>
  <si>
    <t>i. Establish a dedicated compliance-monitoring mechanism/register covering AU rules and donor requirements. ii. Assign named responsibility for tracking compliance status and corrective actions. iii. Report compliance status regularly to RCC management and Africa CDC OIO.</t>
  </si>
  <si>
    <t>RCC / Africa CDC OIO / Africa CDC Legal Affairs Division</t>
  </si>
  <si>
    <t>Incomplete internal-control and audit-readiness tracking</t>
  </si>
  <si>
    <t>i. Internal control weaknesses may persist undetected or unresolved. ii. Prior audit/oversight recommendations may not be tracked to closure. iii. Recurring/systemic issues may not be identified or escalated in time, increasing the likelihood of repeat audit findings.</t>
  </si>
  <si>
    <t>i. Five of the ten Section 8 (Risk Management, Compliance and Internal Control) self-assessment questions — improvement of internal controls (8.4), audit preparation/follow-up (8.7), analysis of repeated results (8.8), compliance-violation log (8.9), and audit-preparation file (8.10) — were left as the unanswered template in the RCC's own 2026 self-assessment, indicating these tracking mechanisms are not yet embedded in routine practice.</t>
  </si>
  <si>
    <t>i. Establish a weaknesses log, an audit-recommendation tracker, a recurring-issues register and a compliance-violation log at RCC level, aligned to Africa CDC OIO's audit-preparation file requirements. ii. Assign clear ownership for maintaining each register and reporting status to RCC management. iii. Use the next OIO assessment cycle to validate that these mechanisms are operating, not just documented.</t>
  </si>
  <si>
    <t>RCC / Africa CDC OIO</t>
  </si>
  <si>
    <t>Centralization of RCC financial records and reconciliation at Headquarters</t>
  </si>
  <si>
    <t>i. Limited RCC-level capacity to independently verify or reconcile its own financial position between HQ processing cycles. ii. Slower local detection of discrepancies, since bank reconciliations are performed at Headquarters. iii. Continuity risk if HQ systems or connectivity are disrupted and local records are only a partial (scanned/physical) copy.</t>
  </si>
  <si>
    <t>i. The RCC does not maintain its own complete, independently accessible financial file with reconciliations and accountability records — these are processed and archived at Headquarters, with the RCC retaining local scanned/physical copies for traceability only (self-assessment Section 9.7, rated "No"). ii. Bank reconciliations are prepared by Headquarters staff, with the RCC providing verification support only on request rather than performing its own review (Section 9.8, rated "No").</t>
  </si>
  <si>
    <t>i. Define a minimum RCC-level financial file standard (budgets, justifications, approvals, reconciliations) maintained locally in parallel with HQ processing. ii. Introduce a periodic (e.g., monthly) RCC-level review of HQ-prepared bank reconciliations before final sign-off. iii. Clarify roles between HQ Finance and the RCC for accountability checks to ensure timely local visibility of the RCC's financial position.</t>
  </si>
  <si>
    <t>RCC / Africa CDC Finance</t>
  </si>
  <si>
    <t>Absence of a dedicated RCC knowledge-management strategy</t>
  </si>
  <si>
    <t>i. Institutional knowledge and lessons learned are captured unevenly across reports rather than systematically consolidated. ii. Risk of knowledge loss compounds the RCC's existing vacancy/turnover exposure (see row #10). iii. Reduced ability to reuse and disseminate lessons learned in a structured way across Member States.</t>
  </si>
  <si>
    <t>i. The RCC does not yet have a formally documented and consolidated knowledge-management strategy defining roles, protocols, repositories and dissemination expectations, although lessons are captured in mission/activity reports and AARs (self-assessment Section 10.6, rated "No"). ii. No single repository consolidates knowledge products, which are currently fragmented across folders, platforms and storage spaces (Section 10.8), increasing the risk to institutional memory during staff transitions.</t>
  </si>
  <si>
    <t>i. Develop and adopt a dedicated RCC knowledge-management strategy defining roles, protocols, repositories and dissemination expectations. ii. Consolidate existing knowledge products (mission reports, AARs, SOPs) into a single, structured RCC repository. iii. Link the knowledge-management strategy to the succession-planning mitigation already proposed for the key-position vacancy risk.</t>
  </si>
  <si>
    <t>RCC / Africa CDC MIS-Digitalization Division</t>
  </si>
  <si>
    <t>Incomplete quality-management system and ISO 9001 readiness</t>
  </si>
  <si>
    <t>i. Slower progress toward ISO 9001 certification objectives set for Africa CDC. ii. Standard operating procedures that are missing, in draft, or obsolete may persist without a tracked completion date or responsible owner. iii. Inconsistent quality practice across RCC functions relative to peer RCCs.</t>
  </si>
  <si>
    <t>i. The RCC does not yet have a formally documented Quality Improvement Action Plan or ISO Action Plan reviewed by management (self-assessment Section 11.5, rated "No"). ii. The RCC does not yet have a formal register to monitor missing, draft or obsolete SOPs and their target completion dates, although this is planned following finalization of the RCC SOP Manual (58 SOPs developed to date) (Section 11.6, rated "No").</t>
  </si>
  <si>
    <t>i. Develop a Quality Improvement/ISO 9001 action plan with management-reviewed milestones. ii. Establish an SOP-monitoring register tracking missing, draft and obsolete procedures with named owners and target dates, building on the existing 58-SOP manual. iii. Incorporate quality-management progress into regular RCC management reporting.</t>
  </si>
  <si>
    <t>RCC / Africa CDC Quality/ISO Coordination</t>
  </si>
  <si>
    <t>Africa CDC Risk Management Register — Dashboard</t>
  </si>
  <si>
    <t>Auto-calculated from the Risk Register sheet. Inherent risk = pre-mitigation assessment; Residual risk = post-mitigation assessment (see column comments for methodology).</t>
  </si>
  <si>
    <t>Key Indicators</t>
  </si>
  <si>
    <t>Total Risks Logged</t>
  </si>
  <si>
    <t>Critical (Inherent)</t>
  </si>
  <si>
    <t>High (Inherent)</t>
  </si>
  <si>
    <t>Medium (Inherent)</t>
  </si>
  <si>
    <t>Low (Inherent)</t>
  </si>
  <si>
    <t>Avg Inherent Score</t>
  </si>
  <si>
    <t>Avg Residual Score</t>
  </si>
  <si>
    <t>Overall Risk Reduction</t>
  </si>
  <si>
    <t>Residual Assessed</t>
  </si>
  <si>
    <t>Not Yet Assessed</t>
  </si>
  <si>
    <t>Status: Open/Extended</t>
  </si>
  <si>
    <t>Status Not Updated</t>
  </si>
  <si>
    <t>Risk Rating Distribution — Inherent vs Residual</t>
  </si>
  <si>
    <t>Risks by Category</t>
  </si>
  <si>
    <t>Rating</t>
  </si>
  <si>
    <t>Inherent Count</t>
  </si>
  <si>
    <t>Residual Count</t>
  </si>
  <si>
    <t>Change</t>
  </si>
  <si>
    <t>Count</t>
  </si>
  <si>
    <t>% of Total</t>
  </si>
  <si>
    <t>High</t>
  </si>
  <si>
    <t>Medium</t>
  </si>
  <si>
    <t>Low</t>
  </si>
  <si>
    <t>Risks by Business Unit</t>
  </si>
  <si>
    <t>Inherent Risk Heat Map (Likelihood x Impact)</t>
  </si>
  <si>
    <t>Critical/High (Inherent)</t>
  </si>
  <si>
    <t>Likelihood \ Impact</t>
  </si>
  <si>
    <t>Supply Chain / Procurement</t>
  </si>
  <si>
    <t>Unlikely</t>
  </si>
  <si>
    <t>Eastern - RCC</t>
  </si>
  <si>
    <t>Central - RCC</t>
  </si>
  <si>
    <t>PHC/NCDIMH</t>
  </si>
  <si>
    <t>SRMNCAH / SRNMCAH</t>
  </si>
  <si>
    <t>Top 10 Highest Residual Risks</t>
  </si>
  <si>
    <t>Status Update Distribution</t>
  </si>
  <si>
    <t>Mitigation Effectiveness - Assessment Progress</t>
  </si>
  <si>
    <t>Rank</t>
  </si>
  <si>
    <t>Risk Name</t>
  </si>
  <si>
    <t>Inherent Score</t>
  </si>
  <si>
    <t>Residual Score</t>
  </si>
  <si>
    <t>Residual Rating</t>
  </si>
  <si>
    <t>Status</t>
  </si>
  <si>
    <t>Effectiveness</t>
  </si>
  <si>
    <t>Not Assessed</t>
  </si>
  <si>
    <t>Limited</t>
  </si>
  <si>
    <t>Partial</t>
  </si>
  <si>
    <t>Closed - Mitigated</t>
  </si>
  <si>
    <t>Substantial</t>
  </si>
  <si>
    <t>Overdue</t>
  </si>
  <si>
    <t>Highly Effective</t>
  </si>
  <si>
    <t>No Status Recorded</t>
  </si>
  <si>
    <t>Risk Register — Reference Lists &amp; Methodology</t>
  </si>
  <si>
    <t>Likelihood Scale (column G / H)</t>
  </si>
  <si>
    <t>Impact Scale (column I / J)</t>
  </si>
  <si>
    <t>Likelihood</t>
  </si>
  <si>
    <t>Score</t>
  </si>
  <si>
    <t>Impact</t>
  </si>
  <si>
    <t>Risk Rating Bands (applied to Inherent Score K and Residual Score X)</t>
  </si>
  <si>
    <t>Risk Type / Category List (column F)</t>
  </si>
  <si>
    <t>Score Range</t>
  </si>
  <si>
    <t>1 - 4</t>
  </si>
  <si>
    <t>5 - 9</t>
  </si>
  <si>
    <t>10 - 15</t>
  </si>
  <si>
    <t>16 - 25</t>
  </si>
  <si>
    <t>Status Update List (column O)</t>
  </si>
  <si>
    <t>Mitigation Effectiveness List (column U) &amp; Score Reduction Applied</t>
  </si>
  <si>
    <t>Likelihood reduction</t>
  </si>
  <si>
    <t>Methodology &amp; Assumptions</t>
  </si>
  <si>
    <t>• Inherent Risk (columns F-K, T): the level of risk as reported by the business unit, assessed BEFORE the effect of any mitigation. Inherent Risk Score = Likelihood Score x Impact Score (1-25). Inherent Risk Rating bands this score into Low/Medium/High/Critical.</t>
  </si>
  <si>
    <t>• Residual Risk (columns U-Y): the level of risk expected AFTER the mitigation actions in column L take effect. Because the teams that submitted the register did not rate mitigation effectiveness, a 'Mitigation Effectiveness' field (column U) was added for the Risk Owner or Africa CDC OIO to assess. Until assessed ('Not Assessed'/blank), Residual Risk is shown equal to Inherent Risk.</t>
  </si>
  <si>
    <t>• Residual Likelihood Score = Inherent Likelihood Score - reduction factor from Mitigation Effectiveness (see table above), floored at 1.</t>
  </si>
  <si>
    <t>• Residual Impact Score = Inherent Impact Score - half the same reduction factor (rounded down), floored at 1. Assumption: preventive/operational mitigations more often reduce the CHANCE of a risk occurring than the severity of its consequence, so likelihood is discounted more heavily than impact by default. Risk owners should override this by selecting the appropriate Mitigation Effectiveness rating, and can request a bespoke residual assessment where this general assumption does not fit a specific risk.</t>
  </si>
  <si>
    <t>• Risk Movement (column Z) compares the Residual Risk Score to the Inherent Risk Score to show the effect of mitigation once assessed.</t>
  </si>
  <si>
    <t>• Public Health Emergency Response was added as a new Risk Type / Category (column F dropdown) to allow tagging of risks specific to outbreak/PHE preparedness, detection and response work going forward; no historical risk was reclassified into it without the category being explicit in the original data.</t>
  </si>
  <si>
    <t>• Data quality clean-up applied to columns F, G, I and O only (Risk Type, Likelihood, Impact, Status Update): inconsistent capitalisation, stray spaces, duplicate wording and out-of-scale entries (e.g. 'High'/'Medium' likelihood, 'Catastrophic' impact) were standardised to the reference lists above. Columns A, B, C, D, E, L and P (team-submitted narrative fields) were left completely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</si>
</sst>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C09]dd\-mmm\-yy;@"/>
    <numFmt numFmtId="165" formatCode="0.0"/>
    <numFmt numFmtId="166" formatCode="0.0%"/>
  </numFmts>
  <fonts count="33">
    <font>
      <sz val="11"/>
      <color theme="1"/>
      <name val="Maven Pro"/>
      <family val="2"/>
      <charset val="1"/>
    </font>
    <font>
      <sz val="10"/>
      <color rgb="FF000000"/>
      <name val="Arial"/>
      <family val="2"/>
      <charset val="1"/>
    </font>
    <font>
      <sz val="9"/>
      <color theme="1"/>
      <name val="Maven Pro"/>
      <charset val="1"/>
    </font>
    <font>
      <b/>
      <sz val="9"/>
      <color theme="1"/>
      <name val="Maven Pro"/>
      <charset val="1"/>
    </font>
    <font>
      <sz val="9"/>
      <color theme="0"/>
      <name val="Maven Pro"/>
      <family val="2"/>
      <charset val="1"/>
    </font>
    <font>
      <b/>
      <sz val="9"/>
      <color theme="0"/>
      <name val="Maven Pro"/>
      <family val="2"/>
      <charset val="1"/>
    </font>
    <font>
      <sz val="9"/>
      <color theme="1"/>
      <name val="Maven Pro"/>
      <family val="2"/>
      <charset val="1"/>
    </font>
    <font>
      <b/>
      <sz val="9"/>
      <color theme="1"/>
      <name val="Maven Pro"/>
      <family val="2"/>
      <charset val="1"/>
    </font>
    <font>
      <sz val="18"/>
      <color theme="3"/>
      <name val="Maven Pro Medium"/>
      <charset val="1"/>
    </font>
    <font>
      <b/>
      <sz val="20"/>
      <color theme="1"/>
      <name val="Maven Pro"/>
      <charset val="1"/>
    </font>
    <font>
      <b/>
      <sz val="10"/>
      <color theme="0"/>
      <name val="Maven Pro Medium"/>
      <charset val="1"/>
    </font>
    <font>
      <b/>
      <sz val="10"/>
      <color rgb="FFFFC000"/>
      <name val="Maven Pro Medium"/>
      <charset val="1"/>
    </font>
    <font>
      <b/>
      <sz val="10"/>
      <color theme="1"/>
      <name val="Maven Pro"/>
      <charset val="1"/>
    </font>
    <font>
      <sz val="9"/>
      <color rgb="FF000000"/>
      <name val="Maven Pro"/>
      <charset val="1"/>
    </font>
    <font>
      <sz val="10"/>
      <name val="Arial"/>
      <family val="2"/>
    </font>
    <font>
      <sz val="10"/>
      <color theme="1"/>
      <name val="Maven Pro"/>
      <family val="2"/>
      <charset val="1"/>
    </font>
    <font>
      <b/>
      <sz val="18"/>
      <color rgb="FF17406D"/>
      <name val="Maven Pro Medium"/>
      <charset val="1"/>
    </font>
    <font>
      <i/>
      <sz val="9"/>
      <color rgb="FF666666"/>
      <name val="Maven Pro"/>
      <charset val="1"/>
    </font>
    <font>
      <sz val="5"/>
      <color theme="1"/>
      <name val="Maven Pro"/>
      <family val="2"/>
      <charset val="1"/>
    </font>
    <font>
      <b/>
      <sz val="13"/>
      <color rgb="FFFFFFFF"/>
      <name val="Maven Pro Medium"/>
      <charset val="1"/>
    </font>
    <font>
      <b/>
      <sz val="22"/>
      <color rgb="FF0F6FC6"/>
      <name val="Maven Pro Medium"/>
      <charset val="1"/>
    </font>
    <font>
      <sz val="14"/>
      <color theme="1"/>
      <name val="Maven Pro"/>
      <charset val="1"/>
    </font>
    <font>
      <sz val="9"/>
      <color rgb="FF444444"/>
      <name val="Maven Pro"/>
      <charset val="1"/>
    </font>
    <font>
      <b/>
      <sz val="10"/>
      <color rgb="FFFFFFFF"/>
      <name val="Maven Pro Medium"/>
      <charset val="1"/>
    </font>
    <font>
      <b/>
      <sz val="10"/>
      <name val="Maven Pro"/>
      <charset val="1"/>
    </font>
    <font>
      <sz val="10"/>
      <name val="Maven Pro"/>
      <charset val="1"/>
    </font>
    <font>
      <sz val="10"/>
      <color theme="0"/>
      <name val="Maven Pro"/>
      <charset val="1"/>
    </font>
    <font>
      <b/>
      <sz val="11"/>
      <color rgb="FF000000"/>
      <name val="Maven Pro Medium"/>
      <charset val="1"/>
    </font>
    <font>
      <b/>
      <sz val="11"/>
      <color rgb="FFFFFFFF"/>
      <name val="Maven Pro Medium"/>
      <charset val="1"/>
    </font>
    <font>
      <sz val="10"/>
      <color theme="1"/>
      <name val="Maven Pro"/>
      <charset val="1"/>
    </font>
    <font>
      <b/>
      <sz val="16"/>
      <color rgb="FF17406D"/>
      <name val="Maven Pro Medium"/>
      <charset val="1"/>
    </font>
    <font>
      <b/>
      <sz val="12"/>
      <color rgb="FFFFFFFF"/>
      <name val="Maven Pro Medium"/>
      <charset val="1"/>
    </font>
    <font>
      <sz val="10"/>
      <color rgb="FF000000"/>
      <name val="Arial"/>
      <family val="2"/>
    </font>
  </fonts>
  <fills count="12">
    <fill>
      <patternFill patternType="none"/>
    </fill>
    <fill>
      <patternFill patternType="gray125"/>
    </fill>
    <fill>
      <patternFill patternType="solid">
        <fgColor theme="4"/>
        <bgColor rgb="FF0070C0"/>
      </patternFill>
    </fill>
    <fill>
      <patternFill patternType="solid">
        <fgColor theme="1" tint="0.34977263710440382"/>
        <bgColor rgb="FF666666"/>
      </patternFill>
    </fill>
    <fill>
      <patternFill patternType="solid">
        <fgColor theme="4" tint="0.79979857783745845"/>
        <bgColor rgb="FFDBEFF9"/>
      </patternFill>
    </fill>
    <fill>
      <patternFill patternType="solid">
        <fgColor rgb="FF17406D"/>
        <bgColor rgb="FF444444"/>
      </patternFill>
    </fill>
    <fill>
      <patternFill patternType="solid">
        <fgColor rgb="FFDBEFF9"/>
        <bgColor rgb="FFC8E3FB"/>
      </patternFill>
    </fill>
    <fill>
      <patternFill patternType="solid">
        <fgColor rgb="FFF3F9FC"/>
        <bgColor rgb="FFFFFFFF"/>
      </patternFill>
    </fill>
    <fill>
      <patternFill patternType="solid">
        <fgColor rgb="FFFFFF00"/>
        <bgColor rgb="FFFFFF00"/>
      </patternFill>
    </fill>
    <fill>
      <patternFill patternType="solid">
        <fgColor rgb="FFFFC000"/>
        <bgColor rgb="FFFF9900"/>
      </patternFill>
    </fill>
    <fill>
      <patternFill patternType="solid">
        <fgColor rgb="FFC00000"/>
        <bgColor rgb="FFFF0000"/>
      </patternFill>
    </fill>
    <fill>
      <patternFill patternType="solid">
        <fgColor rgb="FF00B050"/>
        <bgColor rgb="FF10CF9B"/>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s>
  <cellStyleXfs count="2">
    <xf numFmtId="0" fontId="0" fillId="0" borderId="0"/>
    <xf numFmtId="0" fontId="1" fillId="0" borderId="0"/>
  </cellStyleXfs>
  <cellXfs count="67">
    <xf numFmtId="0" fontId="0" fillId="0" borderId="0" xfId="0"/>
    <xf numFmtId="0" fontId="2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wrapText="1"/>
    </xf>
    <xf numFmtId="0" fontId="2" fillId="0" borderId="1" xfId="0" applyFont="1" applyBorder="1" applyAlignment="1">
      <alignment wrapText="1"/>
    </xf>
    <xf numFmtId="0" fontId="2" fillId="0" borderId="0" xfId="0" applyFont="1"/>
    <xf numFmtId="0" fontId="4" fillId="2" borderId="0" xfId="0" applyFont="1" applyFill="1" applyAlignment="1">
      <alignment horizontal="center" wrapText="1"/>
    </xf>
    <xf numFmtId="0" fontId="5" fillId="2" borderId="0" xfId="0" applyFont="1" applyFill="1" applyAlignment="1">
      <alignment wrapText="1"/>
    </xf>
    <xf numFmtId="0" fontId="4" fillId="2" borderId="0" xfId="0" applyFont="1" applyFill="1" applyAlignment="1">
      <alignment wrapText="1"/>
    </xf>
    <xf numFmtId="0" fontId="6" fillId="0" borderId="0" xfId="0" applyFont="1"/>
    <xf numFmtId="0" fontId="6" fillId="0" borderId="0" xfId="0" applyFont="1" applyAlignment="1">
      <alignment horizontal="center" vertical="center" wrapText="1"/>
    </xf>
    <xf numFmtId="0" fontId="7" fillId="0" borderId="0" xfId="0" applyFont="1" applyAlignment="1">
      <alignment wrapText="1"/>
    </xf>
    <xf numFmtId="0" fontId="6" fillId="0" borderId="0" xfId="0" applyFont="1" applyAlignment="1">
      <alignment wrapText="1"/>
    </xf>
    <xf numFmtId="0" fontId="7" fillId="0" borderId="0" xfId="0" applyFont="1"/>
    <xf numFmtId="0" fontId="8" fillId="0" borderId="0" xfId="0" applyFont="1" applyAlignment="1">
      <alignment horizontal="right"/>
    </xf>
    <xf numFmtId="0" fontId="9" fillId="0" borderId="0" xfId="0" applyFont="1"/>
    <xf numFmtId="0" fontId="2" fillId="0" borderId="0" xfId="0" applyFont="1" applyAlignment="1">
      <alignment horizontal="center" vertical="center" wrapText="1"/>
    </xf>
    <xf numFmtId="0" fontId="3" fillId="0" borderId="0" xfId="0" applyFont="1" applyAlignment="1">
      <alignment wrapText="1"/>
    </xf>
    <xf numFmtId="0" fontId="2" fillId="0" borderId="0" xfId="0" applyFont="1" applyAlignment="1">
      <alignment wrapText="1"/>
    </xf>
    <xf numFmtId="0" fontId="10" fillId="3"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2" fillId="0" borderId="0" xfId="0" applyFont="1" applyAlignment="1">
      <alignment horizontal="center" vertical="center" inden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49"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64" fontId="2" fillId="4" borderId="1" xfId="0" applyNumberFormat="1" applyFont="1" applyFill="1" applyBorder="1" applyAlignment="1">
      <alignment horizontal="left" vertical="top" wrapText="1"/>
    </xf>
    <xf numFmtId="0" fontId="13" fillId="4" borderId="1" xfId="0" applyFont="1" applyFill="1" applyBorder="1" applyAlignment="1">
      <alignment horizontal="left" vertical="top" wrapText="1"/>
    </xf>
    <xf numFmtId="0" fontId="2" fillId="4" borderId="1" xfId="0" applyFont="1" applyFill="1" applyBorder="1" applyAlignment="1">
      <alignment wrapText="1"/>
    </xf>
    <xf numFmtId="0" fontId="3" fillId="4" borderId="1" xfId="0" applyFont="1" applyFill="1" applyBorder="1" applyAlignment="1">
      <alignment wrapText="1"/>
    </xf>
    <xf numFmtId="0" fontId="15" fillId="0" borderId="0" xfId="0" applyFont="1"/>
    <xf numFmtId="0" fontId="16" fillId="0" borderId="0" xfId="0" applyFont="1"/>
    <xf numFmtId="0" fontId="17" fillId="0" borderId="0" xfId="0" applyFont="1"/>
    <xf numFmtId="0" fontId="18" fillId="0" borderId="0" xfId="0" applyFont="1"/>
    <xf numFmtId="0" fontId="19" fillId="5" borderId="0" xfId="0" applyFont="1" applyFill="1" applyAlignment="1">
      <alignment horizontal="left" vertical="center" wrapText="1"/>
    </xf>
    <xf numFmtId="0" fontId="0" fillId="5" borderId="0" xfId="0" applyFill="1"/>
    <xf numFmtId="1" fontId="20" fillId="6" borderId="3" xfId="0" applyNumberFormat="1" applyFont="1" applyFill="1" applyBorder="1" applyAlignment="1">
      <alignment horizontal="center"/>
    </xf>
    <xf numFmtId="165" fontId="20" fillId="6" borderId="3" xfId="0" applyNumberFormat="1" applyFont="1" applyFill="1" applyBorder="1" applyAlignment="1">
      <alignment horizontal="center"/>
    </xf>
    <xf numFmtId="166" fontId="20" fillId="6" borderId="3" xfId="0" applyNumberFormat="1" applyFont="1" applyFill="1" applyBorder="1" applyAlignment="1">
      <alignment horizontal="center"/>
    </xf>
    <xf numFmtId="0" fontId="21" fillId="0" borderId="0" xfId="0" applyFont="1"/>
    <xf numFmtId="0" fontId="22" fillId="6" borderId="3" xfId="0" applyFont="1" applyFill="1" applyBorder="1" applyAlignment="1">
      <alignment horizontal="center" vertical="top" wrapText="1"/>
    </xf>
    <xf numFmtId="0" fontId="24" fillId="7" borderId="3" xfId="0" applyFont="1" applyFill="1" applyBorder="1" applyAlignment="1">
      <alignment horizontal="left" vertical="center" wrapText="1"/>
    </xf>
    <xf numFmtId="0" fontId="25" fillId="7" borderId="3" xfId="0" applyFont="1" applyFill="1" applyBorder="1" applyAlignment="1">
      <alignment horizontal="left" vertical="center" wrapText="1"/>
    </xf>
    <xf numFmtId="165" fontId="25" fillId="7" borderId="3" xfId="0" applyNumberFormat="1" applyFont="1" applyFill="1" applyBorder="1" applyAlignment="1">
      <alignment horizontal="center" vertical="center" wrapText="1"/>
    </xf>
    <xf numFmtId="166" fontId="25" fillId="7" borderId="3" xfId="0" applyNumberFormat="1" applyFont="1" applyFill="1" applyBorder="1" applyAlignment="1">
      <alignment horizontal="center" vertical="center" wrapText="1"/>
    </xf>
    <xf numFmtId="0" fontId="19" fillId="5" borderId="3" xfId="0" applyFont="1" applyFill="1" applyBorder="1" applyAlignment="1">
      <alignment horizontal="left" vertical="center" wrapText="1"/>
    </xf>
    <xf numFmtId="0" fontId="26" fillId="5" borderId="3" xfId="0" applyFont="1" applyFill="1" applyBorder="1" applyAlignment="1">
      <alignment horizontal="left" vertical="center" wrapText="1"/>
    </xf>
    <xf numFmtId="165" fontId="26" fillId="5" borderId="3" xfId="0" applyNumberFormat="1" applyFont="1" applyFill="1" applyBorder="1" applyAlignment="1">
      <alignment horizontal="center" vertical="center" wrapText="1"/>
    </xf>
    <xf numFmtId="166" fontId="26" fillId="5" borderId="3" xfId="0" applyNumberFormat="1" applyFont="1" applyFill="1" applyBorder="1" applyAlignment="1">
      <alignment horizontal="center" vertical="center" wrapText="1"/>
    </xf>
    <xf numFmtId="165" fontId="23" fillId="2" borderId="3" xfId="0" applyNumberFormat="1" applyFont="1" applyFill="1" applyBorder="1" applyAlignment="1">
      <alignment horizontal="center" vertical="center" wrapText="1"/>
    </xf>
    <xf numFmtId="166" fontId="23" fillId="2" borderId="3" xfId="0" applyNumberFormat="1" applyFont="1" applyFill="1" applyBorder="1" applyAlignment="1">
      <alignment horizontal="center" vertical="center" wrapText="1"/>
    </xf>
    <xf numFmtId="0" fontId="27" fillId="8" borderId="3" xfId="0" applyFont="1" applyFill="1" applyBorder="1" applyAlignment="1">
      <alignment horizontal="center" vertical="center" wrapText="1"/>
    </xf>
    <xf numFmtId="165" fontId="27" fillId="9" borderId="3" xfId="0" applyNumberFormat="1" applyFont="1" applyFill="1" applyBorder="1" applyAlignment="1">
      <alignment horizontal="center" vertical="center" wrapText="1"/>
    </xf>
    <xf numFmtId="166" fontId="27" fillId="9" borderId="3" xfId="0" applyNumberFormat="1" applyFont="1" applyFill="1" applyBorder="1" applyAlignment="1">
      <alignment horizontal="center" vertical="center" wrapText="1"/>
    </xf>
    <xf numFmtId="0" fontId="28" fillId="10" borderId="3" xfId="0" applyFont="1" applyFill="1" applyBorder="1" applyAlignment="1">
      <alignment horizontal="center" vertical="center" wrapText="1"/>
    </xf>
    <xf numFmtId="0" fontId="27" fillId="11" borderId="3" xfId="0" applyFont="1" applyFill="1" applyBorder="1" applyAlignment="1">
      <alignment horizontal="center" vertical="center" wrapText="1"/>
    </xf>
    <xf numFmtId="0" fontId="27" fillId="9" borderId="3" xfId="0" applyFont="1" applyFill="1" applyBorder="1" applyAlignment="1">
      <alignment horizontal="center" vertical="center" wrapText="1"/>
    </xf>
    <xf numFmtId="0" fontId="29" fillId="0" borderId="0" xfId="0" applyFont="1"/>
    <xf numFmtId="0" fontId="24" fillId="7" borderId="3" xfId="0" applyFont="1" applyFill="1" applyBorder="1" applyAlignment="1">
      <alignment horizontal="center" vertical="center" wrapText="1"/>
    </xf>
    <xf numFmtId="0" fontId="30" fillId="0" borderId="0" xfId="0" applyFont="1"/>
    <xf numFmtId="0" fontId="31" fillId="5" borderId="0" xfId="0" applyFont="1" applyFill="1" applyAlignment="1">
      <alignment horizontal="left" vertical="center" wrapText="1"/>
    </xf>
    <xf numFmtId="0" fontId="25" fillId="7" borderId="3" xfId="0" applyFont="1" applyFill="1" applyBorder="1" applyAlignment="1">
      <alignment horizontal="center" vertical="center" wrapText="1"/>
    </xf>
    <xf numFmtId="0" fontId="31" fillId="5" borderId="3" xfId="0" applyFont="1" applyFill="1" applyBorder="1" applyAlignment="1">
      <alignment horizontal="left" vertical="center" wrapText="1"/>
    </xf>
    <xf numFmtId="0" fontId="19" fillId="5" borderId="4" xfId="0" applyFont="1" applyFill="1" applyBorder="1" applyAlignment="1">
      <alignment horizontal="left" vertical="center" wrapText="1"/>
    </xf>
    <xf numFmtId="0" fontId="25" fillId="0" borderId="0" xfId="0" applyFont="1" applyAlignment="1">
      <alignment horizontal="left" vertical="center" wrapText="1"/>
    </xf>
    <xf numFmtId="0" fontId="23" fillId="2" borderId="3" xfId="0" applyFont="1" applyFill="1" applyBorder="1" applyAlignment="1">
      <alignment horizontal="center" vertical="center" wrapText="1"/>
    </xf>
  </cellXfs>
  <cellStyles count="2">
    <cellStyle name="Normal" xfId="0" builtinId="0"/>
    <cellStyle name="Normal 6" xfId="1" xr:uid="{00000000-0005-0000-0000-000006000000}"/>
  </cellStyles>
  <dxfs count="22">
    <dxf>
      <font>
        <color rgb="FFFFFFFF"/>
      </font>
      <fill>
        <patternFill>
          <bgColor rgb="FFC00000"/>
        </patternFill>
      </fill>
    </dxf>
    <dxf>
      <fill>
        <patternFill>
          <bgColor rgb="FFFFC000"/>
        </patternFill>
      </fill>
    </dxf>
    <dxf>
      <fill>
        <patternFill>
          <bgColor rgb="FFFFFF00"/>
        </patternFill>
      </fill>
    </dxf>
    <dxf>
      <fill>
        <patternFill>
          <bgColor rgb="FF00B050"/>
        </patternFill>
      </fill>
    </dxf>
    <dxf>
      <font>
        <b/>
        <color rgb="FFFFFFFF"/>
      </font>
      <fill>
        <patternFill>
          <bgColor theme="1"/>
        </patternFill>
      </fill>
    </dxf>
    <dxf>
      <font>
        <b/>
        <color rgb="FFFFFFFF"/>
      </font>
      <fill>
        <patternFill>
          <bgColor theme="1"/>
        </patternFill>
      </fill>
    </dxf>
    <dxf>
      <font>
        <b/>
        <color rgb="FFFFFFFF"/>
      </font>
      <fill>
        <patternFill>
          <bgColor rgb="FFC00000"/>
        </patternFill>
      </fill>
    </dxf>
    <dxf>
      <font>
        <b/>
        <color rgb="FFFFFFFF"/>
      </font>
      <fill>
        <patternFill>
          <bgColor rgb="FF00B050"/>
        </patternFill>
      </fill>
    </dxf>
    <dxf>
      <font>
        <b/>
        <color rgb="FFFFFFFF"/>
      </font>
      <fill>
        <patternFill>
          <bgColor rgb="FF00B050"/>
        </patternFill>
      </fill>
    </dxf>
    <dxf>
      <font>
        <b/>
        <color rgb="FFFFFFFF"/>
      </font>
      <fill>
        <patternFill>
          <bgColor rgb="FF00B0F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0070C0"/>
        </patternFill>
      </fill>
    </dxf>
    <dxf>
      <font>
        <b/>
        <color rgb="FFFFFFFF"/>
      </font>
      <fill>
        <patternFill>
          <bgColor theme="0" tint="-0.249977111117893"/>
        </patternFill>
      </fill>
    </dxf>
    <dxf>
      <font>
        <b/>
        <color rgb="FFFFFFFF"/>
      </font>
      <fill>
        <patternFill>
          <bgColor rgb="FF00B050"/>
        </patternFill>
      </fill>
    </dxf>
    <dxf>
      <font>
        <b/>
        <color rgb="FFFFFFFF"/>
      </font>
      <fill>
        <patternFill>
          <bgColor rgb="FFFFFF00"/>
        </patternFill>
      </fill>
    </dxf>
    <dxf>
      <font>
        <b/>
        <color rgb="FFFFFFFF"/>
      </font>
      <fill>
        <patternFill>
          <bgColor rgb="FFFFC000"/>
        </patternFill>
      </fill>
    </dxf>
    <dxf>
      <font>
        <b/>
        <color rgb="FFFFFFFF"/>
      </font>
      <fill>
        <patternFill>
          <bgColor rgb="FFC00000"/>
        </patternFill>
      </fill>
    </dxf>
    <dxf>
      <fill>
        <patternFill>
          <bgColor rgb="FFFF0000"/>
        </patternFill>
      </fill>
    </dxf>
  </dxfs>
  <tableStyles count="1" defaultTableStyle="TableStyleMedium2" defaultPivotStyle="PivotStyleLight16">
    <tableStyle name="Invisible" pivot="0" table="0" count="0" xr9:uid="{3711CBD0-5D54-4EF6-8D8D-4070A5BE702F}"/>
  </tableStyles>
  <colors>
    <indexedColors>
      <rgbColor rgb="FF000000"/>
      <rgbColor rgb="FFFFFFFF"/>
      <rgbColor rgb="FFFF0000"/>
      <rgbColor rgb="FF00FF00"/>
      <rgbColor rgb="FF0000FF"/>
      <rgbColor rgb="FFFFFF00"/>
      <rgbColor rgb="FFFF00FF"/>
      <rgbColor rgb="FF00B0F0"/>
      <rgbColor rgb="FFC00000"/>
      <rgbColor rgb="FF008000"/>
      <rgbColor rgb="FF000080"/>
      <rgbColor rgb="FF808000"/>
      <rgbColor rgb="FF800080"/>
      <rgbColor rgb="FF0F6FC6"/>
      <rgbColor rgb="FFBFBFBF"/>
      <rgbColor rgb="FF8B8B8B"/>
      <rgbColor rgb="FF9999FF"/>
      <rgbColor rgb="FF993366"/>
      <rgbColor rgb="FFF3F9FC"/>
      <rgbColor rgb="FFDBEFF9"/>
      <rgbColor rgb="FF660066"/>
      <rgbColor rgb="FFFF8080"/>
      <rgbColor rgb="FF0070C0"/>
      <rgbColor rgb="FFD9D9D9"/>
      <rgbColor rgb="FF000080"/>
      <rgbColor rgb="FFFF00FF"/>
      <rgbColor rgb="FFFFFF00"/>
      <rgbColor rgb="FF00FFFF"/>
      <rgbColor rgb="FF800080"/>
      <rgbColor rgb="FF800000"/>
      <rgbColor rgb="FF009DD9"/>
      <rgbColor rgb="FF0000FF"/>
      <rgbColor rgb="FF0BD0D9"/>
      <rgbColor rgb="FFC8E3FB"/>
      <rgbColor rgb="FFCCFFCC"/>
      <rgbColor rgb="FFFFFF99"/>
      <rgbColor rgb="FF99CCFF"/>
      <rgbColor rgb="FFFF99CC"/>
      <rgbColor rgb="FFCC99FF"/>
      <rgbColor rgb="FFFFCC99"/>
      <rgbColor rgb="FF3366FF"/>
      <rgbColor rgb="FF10CF9B"/>
      <rgbColor rgb="FF99CC00"/>
      <rgbColor rgb="FFFFC000"/>
      <rgbColor rgb="FFFF9900"/>
      <rgbColor rgb="FFFF6600"/>
      <rgbColor rgb="FF666666"/>
      <rgbColor rgb="FFB7B7B7"/>
      <rgbColor rgb="FF17406D"/>
      <rgbColor rgb="FF00B050"/>
      <rgbColor rgb="FF003300"/>
      <rgbColor rgb="FF333300"/>
      <rgbColor rgb="FF993300"/>
      <rgbColor rgb="FF993366"/>
      <rgbColor rgb="FF59595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Maven Pro"/>
              </a:defRPr>
            </a:pPr>
            <a:r>
              <a:rPr lang="en-US" sz="1800" b="1" strike="noStrike" spc="-1">
                <a:solidFill>
                  <a:srgbClr val="000000"/>
                </a:solidFill>
                <a:latin typeface="Maven Pro"/>
              </a:rPr>
              <a:t>Risks by Category (Inherent)</a:t>
            </a:r>
          </a:p>
        </c:rich>
      </c:tx>
      <c:overlay val="0"/>
      <c:spPr>
        <a:noFill/>
        <a:ln w="0">
          <a:noFill/>
        </a:ln>
      </c:spPr>
    </c:title>
    <c:autoTitleDeleted val="0"/>
    <c:plotArea>
      <c:layout/>
      <c:barChart>
        <c:barDir val="bar"/>
        <c:grouping val="clustered"/>
        <c:varyColors val="0"/>
        <c:ser>
          <c:idx val="0"/>
          <c:order val="0"/>
          <c:tx>
            <c:strRef>
              <c:f>Dashboard!$G$9</c:f>
              <c:strCache>
                <c:ptCount val="1"/>
                <c:pt idx="0">
                  <c:v>Count</c:v>
                </c:pt>
              </c:strCache>
            </c:strRef>
          </c:tx>
          <c:spPr>
            <a:solidFill>
              <a:srgbClr val="0F6F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Dashboard!$F$10:$F$17</c:f>
              <c:strCache>
                <c:ptCount val="8"/>
                <c:pt idx="0">
                  <c:v>Strategic</c:v>
                </c:pt>
                <c:pt idx="1">
                  <c:v>Operational</c:v>
                </c:pt>
                <c:pt idx="2">
                  <c:v>Financial</c:v>
                </c:pt>
                <c:pt idx="3">
                  <c:v>Compliance</c:v>
                </c:pt>
                <c:pt idx="4">
                  <c:v>Reputational</c:v>
                </c:pt>
                <c:pt idx="5">
                  <c:v>Project</c:v>
                </c:pt>
                <c:pt idx="6">
                  <c:v>Inherent Risk Heat Map (Likelihood x Impact)</c:v>
                </c:pt>
                <c:pt idx="7">
                  <c:v>Likelihood \ Impact</c:v>
                </c:pt>
              </c:strCache>
            </c:strRef>
          </c:cat>
          <c:val>
            <c:numRef>
              <c:f>Dashboard!$G$10:$G$17</c:f>
              <c:numCache>
                <c:formatCode>General</c:formatCode>
                <c:ptCount val="8"/>
                <c:pt idx="0">
                  <c:v>50</c:v>
                </c:pt>
                <c:pt idx="1">
                  <c:v>115</c:v>
                </c:pt>
                <c:pt idx="2">
                  <c:v>29</c:v>
                </c:pt>
                <c:pt idx="3">
                  <c:v>22</c:v>
                </c:pt>
                <c:pt idx="4">
                  <c:v>18</c:v>
                </c:pt>
                <c:pt idx="5">
                  <c:v>19</c:v>
                </c:pt>
                <c:pt idx="6">
                  <c:v>3</c:v>
                </c:pt>
                <c:pt idx="7">
                  <c:v>0</c:v>
                </c:pt>
              </c:numCache>
            </c:numRef>
          </c:val>
          <c:extLst>
            <c:ext xmlns:c16="http://schemas.microsoft.com/office/drawing/2014/chart" uri="{C3380CC4-5D6E-409C-BE32-E72D297353CC}">
              <c16:uniqueId val="{00000000-5E14-49F1-A21A-87504A8CF0A3}"/>
            </c:ext>
          </c:extLst>
        </c:ser>
        <c:dLbls>
          <c:showLegendKey val="0"/>
          <c:showVal val="0"/>
          <c:showCatName val="0"/>
          <c:showSerName val="0"/>
          <c:showPercent val="0"/>
          <c:showBubbleSize val="0"/>
        </c:dLbls>
        <c:gapWidth val="150"/>
        <c:axId val="99433739"/>
        <c:axId val="69420904"/>
      </c:barChart>
      <c:catAx>
        <c:axId val="99433739"/>
        <c:scaling>
          <c:orientation val="minMax"/>
        </c:scaling>
        <c:delete val="0"/>
        <c:axPos val="l"/>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Maven Pro"/>
              </a:defRPr>
            </a:pPr>
            <a:endParaRPr lang="en-US"/>
          </a:p>
        </c:txPr>
        <c:crossAx val="69420904"/>
        <c:crosses val="autoZero"/>
        <c:auto val="1"/>
        <c:lblAlgn val="ctr"/>
        <c:lblOffset val="100"/>
        <c:noMultiLvlLbl val="0"/>
      </c:catAx>
      <c:valAx>
        <c:axId val="69420904"/>
        <c:scaling>
          <c:orientation val="minMax"/>
        </c:scaling>
        <c:delete val="0"/>
        <c:axPos val="b"/>
        <c:majorGridlines>
          <c:spPr>
            <a:ln w="6480">
              <a:solidFill>
                <a:srgbClr val="8B8B8B"/>
              </a:solidFill>
              <a:round/>
            </a:ln>
          </c:spPr>
        </c:majorGridlines>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Maven Pro"/>
              </a:defRPr>
            </a:pPr>
            <a:endParaRPr lang="en-US"/>
          </a:p>
        </c:txPr>
        <c:crossAx val="9943373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Maven Pro"/>
              </a:defRPr>
            </a:pPr>
            <a:r>
              <a:rPr lang="en-US" sz="1800" b="1" strike="noStrike" spc="-1">
                <a:solidFill>
                  <a:srgbClr val="000000"/>
                </a:solidFill>
                <a:latin typeface="Maven Pro"/>
              </a:rPr>
              <a:t>Inherent Risk Rating Distribution</a:t>
            </a:r>
          </a:p>
        </c:rich>
      </c:tx>
      <c:overlay val="0"/>
      <c:spPr>
        <a:noFill/>
        <a:ln w="0">
          <a:noFill/>
        </a:ln>
      </c:spPr>
    </c:title>
    <c:autoTitleDeleted val="0"/>
    <c:plotArea>
      <c:layout/>
      <c:pieChart>
        <c:varyColors val="1"/>
        <c:ser>
          <c:idx val="0"/>
          <c:order val="0"/>
          <c:tx>
            <c:strRef>
              <c:f>Dashboard!$B$9</c:f>
              <c:strCache>
                <c:ptCount val="1"/>
                <c:pt idx="0">
                  <c:v>Inherent Count</c:v>
                </c:pt>
              </c:strCache>
            </c:strRef>
          </c:tx>
          <c:spPr>
            <a:solidFill>
              <a:srgbClr val="0F6FC6"/>
            </a:solidFill>
            <a:ln w="0">
              <a:noFill/>
            </a:ln>
          </c:spPr>
          <c:dPt>
            <c:idx val="0"/>
            <c:bubble3D val="0"/>
            <c:extLst>
              <c:ext xmlns:c16="http://schemas.microsoft.com/office/drawing/2014/chart" uri="{C3380CC4-5D6E-409C-BE32-E72D297353CC}">
                <c16:uniqueId val="{00000001-73EB-423A-901C-7A317DBEEDB7}"/>
              </c:ext>
            </c:extLst>
          </c:dPt>
          <c:dPt>
            <c:idx val="1"/>
            <c:bubble3D val="0"/>
            <c:spPr>
              <a:solidFill>
                <a:srgbClr val="009DD9"/>
              </a:solidFill>
              <a:ln w="0">
                <a:noFill/>
              </a:ln>
            </c:spPr>
            <c:extLst>
              <c:ext xmlns:c16="http://schemas.microsoft.com/office/drawing/2014/chart" uri="{C3380CC4-5D6E-409C-BE32-E72D297353CC}">
                <c16:uniqueId val="{00000003-73EB-423A-901C-7A317DBEEDB7}"/>
              </c:ext>
            </c:extLst>
          </c:dPt>
          <c:dPt>
            <c:idx val="2"/>
            <c:bubble3D val="0"/>
            <c:spPr>
              <a:solidFill>
                <a:srgbClr val="0BD0D9"/>
              </a:solidFill>
              <a:ln w="0">
                <a:noFill/>
              </a:ln>
            </c:spPr>
            <c:extLst>
              <c:ext xmlns:c16="http://schemas.microsoft.com/office/drawing/2014/chart" uri="{C3380CC4-5D6E-409C-BE32-E72D297353CC}">
                <c16:uniqueId val="{00000005-73EB-423A-901C-7A317DBEEDB7}"/>
              </c:ext>
            </c:extLst>
          </c:dPt>
          <c:dPt>
            <c:idx val="3"/>
            <c:bubble3D val="0"/>
            <c:spPr>
              <a:solidFill>
                <a:srgbClr val="10CF9B"/>
              </a:solidFill>
              <a:ln w="0">
                <a:noFill/>
              </a:ln>
            </c:spPr>
            <c:extLst>
              <c:ext xmlns:c16="http://schemas.microsoft.com/office/drawing/2014/chart" uri="{C3380CC4-5D6E-409C-BE32-E72D297353CC}">
                <c16:uniqueId val="{00000007-73EB-423A-901C-7A317DBEEDB7}"/>
              </c:ext>
            </c:extLst>
          </c:dPt>
          <c:dLbls>
            <c:dLbl>
              <c:idx val="0"/>
              <c:spPr/>
              <c:txPr>
                <a:bodyPr wrap="square"/>
                <a:lstStyle/>
                <a:p>
                  <a:pPr>
                    <a:defRPr sz="1000" b="0" strike="noStrike" spc="-1">
                      <a:solidFill>
                        <a:srgbClr val="000000"/>
                      </a:solidFill>
                      <a:latin typeface="Maven Pro"/>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73EB-423A-901C-7A317DBEEDB7}"/>
                </c:ext>
              </c:extLst>
            </c:dLbl>
            <c:dLbl>
              <c:idx val="1"/>
              <c:spPr/>
              <c:txPr>
                <a:bodyPr wrap="square"/>
                <a:lstStyle/>
                <a:p>
                  <a:pPr>
                    <a:defRPr sz="1000" b="0" strike="noStrike" spc="-1">
                      <a:solidFill>
                        <a:srgbClr val="000000"/>
                      </a:solidFill>
                      <a:latin typeface="Maven Pro"/>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73EB-423A-901C-7A317DBEEDB7}"/>
                </c:ext>
              </c:extLst>
            </c:dLbl>
            <c:dLbl>
              <c:idx val="2"/>
              <c:spPr/>
              <c:txPr>
                <a:bodyPr wrap="square"/>
                <a:lstStyle/>
                <a:p>
                  <a:pPr>
                    <a:defRPr sz="1000" b="0" strike="noStrike" spc="-1">
                      <a:solidFill>
                        <a:srgbClr val="000000"/>
                      </a:solidFill>
                      <a:latin typeface="Maven Pro"/>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73EB-423A-901C-7A317DBEEDB7}"/>
                </c:ext>
              </c:extLst>
            </c:dLbl>
            <c:dLbl>
              <c:idx val="3"/>
              <c:spPr/>
              <c:txPr>
                <a:bodyPr wrap="square"/>
                <a:lstStyle/>
                <a:p>
                  <a:pPr>
                    <a:defRPr sz="1000" b="0" strike="noStrike" spc="-1">
                      <a:solidFill>
                        <a:srgbClr val="000000"/>
                      </a:solidFill>
                      <a:latin typeface="Maven Pro"/>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73EB-423A-901C-7A317DBEEDB7}"/>
                </c:ext>
              </c:extLst>
            </c:dLbl>
            <c:spPr>
              <a:noFill/>
              <a:ln>
                <a:noFill/>
              </a:ln>
              <a:effectLst/>
            </c:spPr>
            <c:txPr>
              <a:bodyPr wrap="square"/>
              <a:lstStyle/>
              <a:p>
                <a:pPr>
                  <a:defRPr sz="1000" b="0" strike="noStrike" spc="-1">
                    <a:solidFill>
                      <a:srgbClr val="000000"/>
                    </a:solidFill>
                    <a:latin typeface="Maven Pro"/>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Dashboard!$A$10:$A$13</c:f>
              <c:strCache>
                <c:ptCount val="4"/>
                <c:pt idx="0">
                  <c:v>Critical</c:v>
                </c:pt>
                <c:pt idx="1">
                  <c:v>High</c:v>
                </c:pt>
                <c:pt idx="2">
                  <c:v>Medium</c:v>
                </c:pt>
                <c:pt idx="3">
                  <c:v>Low</c:v>
                </c:pt>
              </c:strCache>
            </c:strRef>
          </c:cat>
          <c:val>
            <c:numRef>
              <c:f>Dashboard!$B$10:$B$13</c:f>
              <c:numCache>
                <c:formatCode>General</c:formatCode>
                <c:ptCount val="4"/>
                <c:pt idx="0">
                  <c:v>100</c:v>
                </c:pt>
                <c:pt idx="1">
                  <c:v>103</c:v>
                </c:pt>
                <c:pt idx="2">
                  <c:v>62</c:v>
                </c:pt>
                <c:pt idx="3">
                  <c:v>6</c:v>
                </c:pt>
              </c:numCache>
            </c:numRef>
          </c:val>
          <c:extLst>
            <c:ext xmlns:c16="http://schemas.microsoft.com/office/drawing/2014/chart" uri="{C3380CC4-5D6E-409C-BE32-E72D297353CC}">
              <c16:uniqueId val="{00000008-73EB-423A-901C-7A317DBEEDB7}"/>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Maven Pro"/>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Maven Pro"/>
              </a:defRPr>
            </a:pPr>
            <a:r>
              <a:rPr lang="en-US" sz="1800" b="1" strike="noStrike" spc="-1">
                <a:solidFill>
                  <a:srgbClr val="000000"/>
                </a:solidFill>
                <a:latin typeface="Maven Pro"/>
              </a:rPr>
              <a:t>Risks by Business Unit</a:t>
            </a:r>
          </a:p>
        </c:rich>
      </c:tx>
      <c:overlay val="0"/>
      <c:spPr>
        <a:noFill/>
        <a:ln w="0">
          <a:noFill/>
        </a:ln>
      </c:spPr>
    </c:title>
    <c:autoTitleDeleted val="0"/>
    <c:plotArea>
      <c:layout/>
      <c:barChart>
        <c:barDir val="bar"/>
        <c:grouping val="clustered"/>
        <c:varyColors val="0"/>
        <c:ser>
          <c:idx val="0"/>
          <c:order val="0"/>
          <c:tx>
            <c:strRef>
              <c:f>Dashboard!$B$17</c:f>
              <c:strCache>
                <c:ptCount val="1"/>
                <c:pt idx="0">
                  <c:v>Count</c:v>
                </c:pt>
              </c:strCache>
            </c:strRef>
          </c:tx>
          <c:spPr>
            <a:solidFill>
              <a:srgbClr val="0F6F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Dashboard!$A$18:$A$38</c:f>
              <c:strCache>
                <c:ptCount val="21"/>
                <c:pt idx="0">
                  <c:v>Digital Health</c:v>
                </c:pt>
                <c:pt idx="1">
                  <c:v>Western - RCC</c:v>
                </c:pt>
                <c:pt idx="2">
                  <c:v>Partnerships</c:v>
                </c:pt>
                <c:pt idx="3">
                  <c:v>Supply Chain / Procurement</c:v>
                </c:pt>
                <c:pt idx="4">
                  <c:v>HEF</c:v>
                </c:pt>
                <c:pt idx="5">
                  <c:v>SDI</c:v>
                </c:pt>
                <c:pt idx="6">
                  <c:v>HR</c:v>
                </c:pt>
                <c:pt idx="7">
                  <c:v>Eastern - RCC</c:v>
                </c:pt>
                <c:pt idx="8">
                  <c:v>Lab</c:v>
                </c:pt>
                <c:pt idx="9">
                  <c:v>Central - RCC</c:v>
                </c:pt>
                <c:pt idx="10">
                  <c:v>PHAHM</c:v>
                </c:pt>
                <c:pt idx="11">
                  <c:v>Finance</c:v>
                </c:pt>
                <c:pt idx="12">
                  <c:v>Northern - RCC</c:v>
                </c:pt>
                <c:pt idx="13">
                  <c:v>Science</c:v>
                </c:pt>
                <c:pt idx="14">
                  <c:v>Legal</c:v>
                </c:pt>
                <c:pt idx="15">
                  <c:v>EPR</c:v>
                </c:pt>
                <c:pt idx="16">
                  <c:v>PHC/CHSHP</c:v>
                </c:pt>
                <c:pt idx="17">
                  <c:v>Southern RCC</c:v>
                </c:pt>
                <c:pt idx="18">
                  <c:v>PHC/IDDS</c:v>
                </c:pt>
                <c:pt idx="19">
                  <c:v>PHC/NCDIMH</c:v>
                </c:pt>
                <c:pt idx="20">
                  <c:v>SRMNCAH / SRNMCAH</c:v>
                </c:pt>
              </c:strCache>
            </c:strRef>
          </c:cat>
          <c:val>
            <c:numRef>
              <c:f>Dashboard!$B$18:$B$38</c:f>
              <c:numCache>
                <c:formatCode>General</c:formatCode>
                <c:ptCount val="21"/>
                <c:pt idx="0">
                  <c:v>29</c:v>
                </c:pt>
                <c:pt idx="1">
                  <c:v>26</c:v>
                </c:pt>
                <c:pt idx="2">
                  <c:v>24</c:v>
                </c:pt>
                <c:pt idx="3">
                  <c:v>23</c:v>
                </c:pt>
                <c:pt idx="4">
                  <c:v>15</c:v>
                </c:pt>
                <c:pt idx="5">
                  <c:v>14</c:v>
                </c:pt>
                <c:pt idx="6">
                  <c:v>14</c:v>
                </c:pt>
                <c:pt idx="7">
                  <c:v>13</c:v>
                </c:pt>
                <c:pt idx="8">
                  <c:v>12</c:v>
                </c:pt>
                <c:pt idx="9">
                  <c:v>0</c:v>
                </c:pt>
                <c:pt idx="10">
                  <c:v>10</c:v>
                </c:pt>
                <c:pt idx="11">
                  <c:v>10</c:v>
                </c:pt>
                <c:pt idx="12">
                  <c:v>10</c:v>
                </c:pt>
                <c:pt idx="13">
                  <c:v>9</c:v>
                </c:pt>
                <c:pt idx="14">
                  <c:v>8</c:v>
                </c:pt>
                <c:pt idx="15">
                  <c:v>7</c:v>
                </c:pt>
                <c:pt idx="16">
                  <c:v>6</c:v>
                </c:pt>
                <c:pt idx="17">
                  <c:v>5</c:v>
                </c:pt>
                <c:pt idx="18">
                  <c:v>4</c:v>
                </c:pt>
                <c:pt idx="19">
                  <c:v>4</c:v>
                </c:pt>
                <c:pt idx="20">
                  <c:v>3</c:v>
                </c:pt>
              </c:numCache>
            </c:numRef>
          </c:val>
          <c:extLst>
            <c:ext xmlns:c16="http://schemas.microsoft.com/office/drawing/2014/chart" uri="{C3380CC4-5D6E-409C-BE32-E72D297353CC}">
              <c16:uniqueId val="{00000000-2FA2-4734-ABD9-983A38E3A644}"/>
            </c:ext>
          </c:extLst>
        </c:ser>
        <c:dLbls>
          <c:showLegendKey val="0"/>
          <c:showVal val="0"/>
          <c:showCatName val="0"/>
          <c:showSerName val="0"/>
          <c:showPercent val="0"/>
          <c:showBubbleSize val="0"/>
        </c:dLbls>
        <c:gapWidth val="150"/>
        <c:axId val="58660443"/>
        <c:axId val="73544788"/>
      </c:barChart>
      <c:catAx>
        <c:axId val="58660443"/>
        <c:scaling>
          <c:orientation val="minMax"/>
        </c:scaling>
        <c:delete val="0"/>
        <c:axPos val="l"/>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Maven Pro"/>
              </a:defRPr>
            </a:pPr>
            <a:endParaRPr lang="en-US"/>
          </a:p>
        </c:txPr>
        <c:crossAx val="73544788"/>
        <c:crosses val="autoZero"/>
        <c:auto val="1"/>
        <c:lblAlgn val="ctr"/>
        <c:lblOffset val="100"/>
        <c:noMultiLvlLbl val="0"/>
      </c:catAx>
      <c:valAx>
        <c:axId val="73544788"/>
        <c:scaling>
          <c:orientation val="minMax"/>
        </c:scaling>
        <c:delete val="0"/>
        <c:axPos val="b"/>
        <c:majorGridlines>
          <c:spPr>
            <a:ln w="6480">
              <a:solidFill>
                <a:srgbClr val="8B8B8B"/>
              </a:solidFill>
              <a:round/>
            </a:ln>
          </c:spPr>
        </c:majorGridlines>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Maven Pro"/>
              </a:defRPr>
            </a:pPr>
            <a:endParaRPr lang="en-US"/>
          </a:p>
        </c:txPr>
        <c:crossAx val="5866044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file:///xl/media/image1.png"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hyperlink" Target="file:///xl/media/image2.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182520</xdr:colOff>
      <xdr:row>0</xdr:row>
      <xdr:rowOff>0</xdr:rowOff>
    </xdr:from>
    <xdr:to>
      <xdr:col>1</xdr:col>
      <xdr:colOff>695160</xdr:colOff>
      <xdr:row>2</xdr:row>
      <xdr:rowOff>173520</xdr:rowOff>
    </xdr:to>
    <xdr:pic>
      <xdr:nvPicPr>
        <xdr:cNvPr id="2" name="Graphic 2" descr="Home outline">
          <a:hlinkClick xmlns:r="http://schemas.openxmlformats.org/officeDocument/2006/relationships" r:id="rId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2"/>
        <a:stretch/>
      </xdr:blipFill>
      <xdr:spPr>
        <a:xfrm>
          <a:off x="982800" y="0"/>
          <a:ext cx="512640" cy="55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466560</xdr:colOff>
      <xdr:row>50</xdr:row>
      <xdr:rowOff>1424160</xdr:rowOff>
    </xdr:from>
    <xdr:to>
      <xdr:col>3</xdr:col>
      <xdr:colOff>891360</xdr:colOff>
      <xdr:row>69</xdr:row>
      <xdr:rowOff>118080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19440</xdr:colOff>
      <xdr:row>50</xdr:row>
      <xdr:rowOff>1391760</xdr:rowOff>
    </xdr:from>
    <xdr:to>
      <xdr:col>8</xdr:col>
      <xdr:colOff>782280</xdr:colOff>
      <xdr:row>69</xdr:row>
      <xdr:rowOff>85680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47</xdr:row>
      <xdr:rowOff>102240</xdr:rowOff>
    </xdr:from>
    <xdr:to>
      <xdr:col>14</xdr:col>
      <xdr:colOff>425160</xdr:colOff>
      <xdr:row>67</xdr:row>
      <xdr:rowOff>129240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9000</xdr:rowOff>
    </xdr:from>
    <xdr:to>
      <xdr:col>0</xdr:col>
      <xdr:colOff>579600</xdr:colOff>
      <xdr:row>1</xdr:row>
      <xdr:rowOff>236160</xdr:rowOff>
    </xdr:to>
    <xdr:pic>
      <xdr:nvPicPr>
        <xdr:cNvPr id="5" name="Graphic 5" descr="Home outline">
          <a:hlinkClick xmlns:r="http://schemas.openxmlformats.org/officeDocument/2006/relationships" r:id="rId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5"/>
        <a:stretch/>
      </xdr:blipFill>
      <xdr:spPr>
        <a:xfrm>
          <a:off x="0" y="9000"/>
          <a:ext cx="579600" cy="5796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Blue">
      <a:dk1>
        <a:srgbClr val="000000"/>
      </a:dk1>
      <a:lt1>
        <a:srgbClr val="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my audit spot">
      <a:majorFont>
        <a:latin typeface="Maven Pro Medium"/>
        <a:ea typeface=""/>
        <a:cs typeface=""/>
      </a:majorFont>
      <a:minorFont>
        <a:latin typeface="Maven Pro"/>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792"/>
  <sheetViews>
    <sheetView showGridLines="0" tabSelected="1" zoomScale="96" zoomScaleNormal="96" workbookViewId="0">
      <pane xSplit="2" ySplit="5" topLeftCell="C6" activePane="bottomRight" state="frozen"/>
      <selection pane="topRight" activeCell="C1" sqref="C1"/>
      <selection pane="bottomLeft" activeCell="A6" sqref="A6"/>
      <selection pane="bottomRight" activeCell="B5" sqref="B5"/>
    </sheetView>
  </sheetViews>
  <sheetFormatPr baseColWidth="10" defaultColWidth="15" defaultRowHeight="12"/>
  <cols>
    <col min="1" max="1" width="9" style="2" customWidth="1"/>
    <col min="2" max="2" width="12.33203125" style="3" customWidth="1"/>
    <col min="3" max="3" width="27.5" style="3" customWidth="1"/>
    <col min="4" max="4" width="17.6640625" style="4" customWidth="1"/>
    <col min="5" max="5" width="22.83203125" style="4" customWidth="1"/>
    <col min="6" max="6" width="41" style="4" customWidth="1"/>
    <col min="7" max="11" width="13" style="4" customWidth="1"/>
    <col min="12" max="12" width="11" style="4" customWidth="1"/>
    <col min="13" max="13" width="37.5" style="4" customWidth="1"/>
    <col min="14" max="14" width="17.83203125" style="4" customWidth="1"/>
    <col min="15" max="15" width="9.83203125" style="4" customWidth="1"/>
    <col min="16" max="16" width="12.5" style="4" customWidth="1"/>
    <col min="17" max="17" width="16.83203125" style="4" customWidth="1"/>
    <col min="18" max="18" width="30.33203125" style="4" customWidth="1"/>
    <col min="19" max="19" width="10.83203125" style="4" customWidth="1"/>
    <col min="20" max="20" width="16.5" style="4" customWidth="1"/>
    <col min="21" max="16384" width="15" style="5"/>
  </cols>
  <sheetData>
    <row r="1" spans="1:28" s="9" customFormat="1" ht="22.5" customHeight="1">
      <c r="A1" s="6"/>
      <c r="B1" s="7"/>
      <c r="C1" s="7"/>
      <c r="D1" s="8"/>
      <c r="E1" s="8"/>
      <c r="F1" s="8"/>
      <c r="G1" s="8"/>
      <c r="H1" s="8"/>
      <c r="I1" s="8"/>
      <c r="J1" s="8"/>
      <c r="K1" s="8"/>
      <c r="L1" s="8"/>
      <c r="M1" s="8"/>
      <c r="N1" s="8"/>
      <c r="O1" s="8"/>
      <c r="P1" s="8"/>
      <c r="Q1" s="8"/>
      <c r="R1" s="8"/>
      <c r="S1" s="8"/>
      <c r="T1" s="8"/>
    </row>
    <row r="2" spans="1:28" s="9" customFormat="1" ht="7.5" customHeight="1">
      <c r="A2" s="10"/>
      <c r="B2" s="11"/>
      <c r="C2" s="11"/>
      <c r="D2" s="12"/>
      <c r="E2" s="12"/>
      <c r="F2" s="12"/>
      <c r="G2" s="12"/>
      <c r="H2" s="12"/>
      <c r="I2" s="12"/>
      <c r="J2" s="12"/>
      <c r="K2" s="12"/>
      <c r="L2" s="12"/>
      <c r="M2" s="12"/>
      <c r="N2" s="12"/>
      <c r="O2" s="12"/>
      <c r="P2" s="12"/>
      <c r="Q2" s="12"/>
      <c r="R2" s="12"/>
      <c r="S2" s="12"/>
      <c r="T2" s="12"/>
    </row>
    <row r="3" spans="1:28" s="9" customFormat="1" ht="24.75" customHeight="1">
      <c r="B3" s="13"/>
      <c r="C3" s="13"/>
      <c r="D3" s="14"/>
      <c r="E3" s="15" t="s">
        <v>0</v>
      </c>
      <c r="G3" s="12"/>
      <c r="H3" s="12"/>
      <c r="I3" s="12"/>
      <c r="J3" s="12"/>
      <c r="K3" s="12"/>
      <c r="L3" s="12"/>
      <c r="M3" s="12"/>
      <c r="N3" s="12"/>
      <c r="O3" s="12"/>
      <c r="P3" s="12"/>
      <c r="Q3" s="12"/>
      <c r="R3" s="12"/>
      <c r="S3" s="12"/>
      <c r="T3" s="12"/>
    </row>
    <row r="4" spans="1:28" ht="9.75" customHeight="1">
      <c r="A4" s="16"/>
      <c r="B4" s="17"/>
      <c r="C4" s="17"/>
      <c r="D4" s="18"/>
      <c r="E4" s="18"/>
      <c r="F4" s="18"/>
      <c r="G4" s="18"/>
      <c r="H4" s="18"/>
      <c r="I4" s="18"/>
      <c r="J4" s="18"/>
      <c r="K4" s="18"/>
      <c r="L4" s="18"/>
      <c r="M4" s="18"/>
      <c r="N4" s="18"/>
      <c r="O4" s="18"/>
      <c r="P4" s="18"/>
      <c r="Q4" s="18"/>
      <c r="R4" s="18"/>
      <c r="S4" s="18"/>
      <c r="T4" s="18"/>
    </row>
    <row r="5" spans="1:28" s="21" customFormat="1" ht="41.25" customHeight="1">
      <c r="A5" s="19"/>
      <c r="B5" s="19" t="s">
        <v>1</v>
      </c>
      <c r="C5" s="19" t="s">
        <v>2</v>
      </c>
      <c r="D5" s="20" t="s">
        <v>3</v>
      </c>
      <c r="E5" s="20" t="s">
        <v>4</v>
      </c>
      <c r="F5" s="20" t="s">
        <v>5</v>
      </c>
      <c r="G5" s="19" t="s">
        <v>6</v>
      </c>
      <c r="H5" s="19" t="s">
        <v>7</v>
      </c>
      <c r="I5" s="19" t="s">
        <v>8</v>
      </c>
      <c r="J5" s="19" t="s">
        <v>9</v>
      </c>
      <c r="K5" s="19" t="s">
        <v>10</v>
      </c>
      <c r="L5" s="19" t="s">
        <v>11</v>
      </c>
      <c r="M5" s="19" t="s">
        <v>12</v>
      </c>
      <c r="N5" s="19" t="s">
        <v>13</v>
      </c>
      <c r="O5" s="19" t="s">
        <v>14</v>
      </c>
      <c r="P5" s="19" t="s">
        <v>15</v>
      </c>
      <c r="Q5" s="19" t="s">
        <v>16</v>
      </c>
      <c r="R5" s="19" t="s">
        <v>17</v>
      </c>
      <c r="S5" s="19" t="s">
        <v>18</v>
      </c>
      <c r="T5" s="19" t="s">
        <v>19</v>
      </c>
      <c r="U5" s="19" t="s">
        <v>20</v>
      </c>
      <c r="V5" s="19" t="s">
        <v>21</v>
      </c>
      <c r="W5" s="19" t="s">
        <v>22</v>
      </c>
      <c r="X5" s="19" t="s">
        <v>23</v>
      </c>
      <c r="Y5" s="19" t="s">
        <v>24</v>
      </c>
      <c r="Z5" s="19" t="s">
        <v>25</v>
      </c>
      <c r="AA5" s="19" t="s">
        <v>26</v>
      </c>
      <c r="AB5" s="21" t="s">
        <v>27</v>
      </c>
    </row>
    <row r="6" spans="1:28" ht="49.5" customHeight="1">
      <c r="A6" s="22">
        <f>1</f>
        <v>1</v>
      </c>
      <c r="B6" s="23" t="s">
        <v>28</v>
      </c>
      <c r="C6" s="23" t="s">
        <v>29</v>
      </c>
      <c r="D6" s="24" t="s">
        <v>30</v>
      </c>
      <c r="E6" s="24" t="s">
        <v>31</v>
      </c>
      <c r="F6" s="24" t="s">
        <v>32</v>
      </c>
      <c r="G6" s="25" t="s">
        <v>33</v>
      </c>
      <c r="H6" s="25" t="s">
        <v>34</v>
      </c>
      <c r="I6" s="25">
        <f t="shared" ref="I6:I69" si="0">IFERROR(IF(H6="Unlikely",1,IF(H6="Possible",2,IF(H6="Likely",3,IF(H6="Almost Certain",4,IF(H6="Certain",5,""))))),"")</f>
        <v>5</v>
      </c>
      <c r="J6" s="25" t="s">
        <v>35</v>
      </c>
      <c r="K6" s="25">
        <f t="shared" ref="K6:K69" si="1">IFERROR(IF(J6="Negligible",1,IF(J6="Minor",2,IF(J6="Moderate",3,IF(J6="Major",4,IF(J6="Critical",5,""))))),"")</f>
        <v>5</v>
      </c>
      <c r="L6" s="26">
        <f t="shared" ref="L6:L69" si="2">IF(OR(I6="",K6=""),"",I6*K6)</f>
        <v>25</v>
      </c>
      <c r="M6" s="24" t="s">
        <v>36</v>
      </c>
      <c r="N6" s="24"/>
      <c r="O6" s="27">
        <v>45930</v>
      </c>
      <c r="P6" s="26" t="s">
        <v>37</v>
      </c>
      <c r="Q6" s="24" t="s">
        <v>38</v>
      </c>
      <c r="R6" s="28"/>
      <c r="S6" s="25"/>
      <c r="T6" s="25"/>
      <c r="U6" s="26" t="str">
        <f t="shared" ref="U6:U69" si="3">IF(L6="","",IF(L6&lt;=4,"Low",IF(L6&lt;=9,"Medium",IF(L6&lt;=15,"High","Critical"))))</f>
        <v>Critical</v>
      </c>
      <c r="V6" s="26"/>
      <c r="W6" s="26">
        <f t="shared" ref="W6:W69" si="4">IF(I6="","",MAX(1,I6-(IF(V6="Limited",1,IF(V6="Partial",2,IF(V6="Substantial",3,IF(V6="Highly Effective",4,0)))))))</f>
        <v>5</v>
      </c>
      <c r="X6" s="26">
        <f t="shared" ref="X6:X69" si="5">IF(K6="","",MAX(1,K6-ROUNDDOWN((IF(V6="Limited",1,IF(V6="Partial",2,IF(V6="Substantial",3,IF(V6="Highly Effective",4,0)))))/2,0)))</f>
        <v>5</v>
      </c>
      <c r="Y6" s="26">
        <f t="shared" ref="Y6:Y69" si="6">IF(OR(W6="",X6=""),"",W6*X6)</f>
        <v>25</v>
      </c>
      <c r="Z6" s="26" t="str">
        <f t="shared" ref="Z6:Z69" si="7">IF(Y6="","",IF(Y6&lt;=4,"Low",IF(Y6&lt;=9,"Medium",IF(Y6&lt;=15,"High","Critical"))))</f>
        <v>Critical</v>
      </c>
      <c r="AA6" s="26" t="str">
        <f t="shared" ref="AA6:AA69" si="8">IF(OR(L6="",Y6=""),"",IF(Y6&lt;L6,"Reduced by "&amp;(L6-Y6)&amp;" pts",IF(Y6=L6,"No Change","Increased by "&amp;(Y6-L6)&amp;" pts")))</f>
        <v>No Change</v>
      </c>
      <c r="AB6" s="5">
        <f t="shared" ref="AB6:AB69" si="9">IF(Y6="","",Y6+(ROW()/10000000))</f>
        <v>25.0000006</v>
      </c>
    </row>
    <row r="7" spans="1:28" ht="49.5" customHeight="1">
      <c r="A7" s="22">
        <f>1+1</f>
        <v>2</v>
      </c>
      <c r="B7" s="23" t="s">
        <v>28</v>
      </c>
      <c r="C7" s="23" t="s">
        <v>39</v>
      </c>
      <c r="D7" s="24" t="s">
        <v>40</v>
      </c>
      <c r="E7" s="24" t="s">
        <v>41</v>
      </c>
      <c r="F7" s="24" t="s">
        <v>42</v>
      </c>
      <c r="G7" s="25" t="s">
        <v>43</v>
      </c>
      <c r="H7" s="25" t="s">
        <v>44</v>
      </c>
      <c r="I7" s="25">
        <f t="shared" si="0"/>
        <v>4</v>
      </c>
      <c r="J7" s="25" t="s">
        <v>35</v>
      </c>
      <c r="K7" s="25">
        <f t="shared" si="1"/>
        <v>5</v>
      </c>
      <c r="L7" s="26">
        <f t="shared" si="2"/>
        <v>20</v>
      </c>
      <c r="M7" s="24" t="s">
        <v>45</v>
      </c>
      <c r="N7" s="24"/>
      <c r="O7" s="27">
        <v>45930</v>
      </c>
      <c r="P7" s="26" t="s">
        <v>37</v>
      </c>
      <c r="Q7" s="24" t="s">
        <v>46</v>
      </c>
      <c r="R7" s="28"/>
      <c r="S7" s="25"/>
      <c r="T7" s="25"/>
      <c r="U7" s="26" t="str">
        <f t="shared" si="3"/>
        <v>Critical</v>
      </c>
      <c r="V7" s="26"/>
      <c r="W7" s="26">
        <f t="shared" si="4"/>
        <v>4</v>
      </c>
      <c r="X7" s="26">
        <f t="shared" si="5"/>
        <v>5</v>
      </c>
      <c r="Y7" s="26">
        <f t="shared" si="6"/>
        <v>20</v>
      </c>
      <c r="Z7" s="26" t="str">
        <f t="shared" si="7"/>
        <v>Critical</v>
      </c>
      <c r="AA7" s="26" t="str">
        <f t="shared" si="8"/>
        <v>No Change</v>
      </c>
      <c r="AB7" s="5">
        <f t="shared" si="9"/>
        <v>20.000000700000001</v>
      </c>
    </row>
    <row r="8" spans="1:28" ht="49.5" customHeight="1">
      <c r="A8" s="22">
        <f>1+2</f>
        <v>3</v>
      </c>
      <c r="B8" s="23" t="s">
        <v>28</v>
      </c>
      <c r="C8" s="23" t="s">
        <v>29</v>
      </c>
      <c r="D8" s="24" t="s">
        <v>47</v>
      </c>
      <c r="E8" s="24" t="s">
        <v>48</v>
      </c>
      <c r="F8" s="24" t="s">
        <v>49</v>
      </c>
      <c r="G8" s="25" t="s">
        <v>33</v>
      </c>
      <c r="H8" s="25" t="s">
        <v>50</v>
      </c>
      <c r="I8" s="25">
        <f t="shared" si="0"/>
        <v>3</v>
      </c>
      <c r="J8" s="25" t="s">
        <v>51</v>
      </c>
      <c r="K8" s="25">
        <f t="shared" si="1"/>
        <v>4</v>
      </c>
      <c r="L8" s="26">
        <f t="shared" si="2"/>
        <v>12</v>
      </c>
      <c r="M8" s="24" t="s">
        <v>52</v>
      </c>
      <c r="N8" s="24"/>
      <c r="O8" s="27">
        <v>45930</v>
      </c>
      <c r="P8" s="26" t="s">
        <v>37</v>
      </c>
      <c r="Q8" s="24" t="s">
        <v>53</v>
      </c>
      <c r="R8" s="24"/>
      <c r="S8" s="25"/>
      <c r="T8" s="25"/>
      <c r="U8" s="26" t="str">
        <f t="shared" si="3"/>
        <v>High</v>
      </c>
      <c r="V8" s="26"/>
      <c r="W8" s="26">
        <f t="shared" si="4"/>
        <v>3</v>
      </c>
      <c r="X8" s="26">
        <f t="shared" si="5"/>
        <v>4</v>
      </c>
      <c r="Y8" s="26">
        <f t="shared" si="6"/>
        <v>12</v>
      </c>
      <c r="Z8" s="26" t="str">
        <f t="shared" si="7"/>
        <v>High</v>
      </c>
      <c r="AA8" s="26" t="str">
        <f t="shared" si="8"/>
        <v>No Change</v>
      </c>
      <c r="AB8" s="5">
        <f t="shared" si="9"/>
        <v>12.0000008</v>
      </c>
    </row>
    <row r="9" spans="1:28" ht="49.5" customHeight="1">
      <c r="A9" s="22">
        <v>4</v>
      </c>
      <c r="B9" s="23" t="s">
        <v>28</v>
      </c>
      <c r="C9" s="23" t="s">
        <v>54</v>
      </c>
      <c r="D9" s="24" t="s">
        <v>55</v>
      </c>
      <c r="E9" s="24" t="s">
        <v>56</v>
      </c>
      <c r="F9" s="24" t="s">
        <v>57</v>
      </c>
      <c r="G9" s="25" t="s">
        <v>58</v>
      </c>
      <c r="H9" s="25" t="s">
        <v>50</v>
      </c>
      <c r="I9" s="25">
        <f t="shared" si="0"/>
        <v>3</v>
      </c>
      <c r="J9" s="25" t="s">
        <v>35</v>
      </c>
      <c r="K9" s="25">
        <f t="shared" si="1"/>
        <v>5</v>
      </c>
      <c r="L9" s="26">
        <f t="shared" si="2"/>
        <v>15</v>
      </c>
      <c r="M9" s="24" t="s">
        <v>59</v>
      </c>
      <c r="N9" s="24"/>
      <c r="O9" s="27">
        <v>45930</v>
      </c>
      <c r="P9" s="26" t="s">
        <v>37</v>
      </c>
      <c r="Q9" s="24" t="s">
        <v>60</v>
      </c>
      <c r="R9" s="28"/>
      <c r="S9" s="25"/>
      <c r="T9" s="25"/>
      <c r="U9" s="26" t="str">
        <f t="shared" si="3"/>
        <v>High</v>
      </c>
      <c r="V9" s="26"/>
      <c r="W9" s="26">
        <f t="shared" si="4"/>
        <v>3</v>
      </c>
      <c r="X9" s="26">
        <f t="shared" si="5"/>
        <v>5</v>
      </c>
      <c r="Y9" s="26">
        <f t="shared" si="6"/>
        <v>15</v>
      </c>
      <c r="Z9" s="26" t="str">
        <f t="shared" si="7"/>
        <v>High</v>
      </c>
      <c r="AA9" s="26" t="str">
        <f t="shared" si="8"/>
        <v>No Change</v>
      </c>
      <c r="AB9" s="5">
        <f t="shared" si="9"/>
        <v>15.0000009</v>
      </c>
    </row>
    <row r="10" spans="1:28" ht="49.5" customHeight="1">
      <c r="A10" s="22">
        <v>5</v>
      </c>
      <c r="B10" s="23" t="s">
        <v>28</v>
      </c>
      <c r="C10" s="23" t="s">
        <v>61</v>
      </c>
      <c r="D10" s="24" t="s">
        <v>62</v>
      </c>
      <c r="E10" s="24" t="s">
        <v>63</v>
      </c>
      <c r="F10" s="24" t="s">
        <v>64</v>
      </c>
      <c r="G10" s="25" t="s">
        <v>43</v>
      </c>
      <c r="H10" s="25" t="s">
        <v>44</v>
      </c>
      <c r="I10" s="25">
        <f t="shared" si="0"/>
        <v>4</v>
      </c>
      <c r="J10" s="25" t="s">
        <v>35</v>
      </c>
      <c r="K10" s="25">
        <f t="shared" si="1"/>
        <v>5</v>
      </c>
      <c r="L10" s="26">
        <f t="shared" si="2"/>
        <v>20</v>
      </c>
      <c r="M10" s="24" t="s">
        <v>65</v>
      </c>
      <c r="N10" s="24"/>
      <c r="O10" s="27">
        <v>45930</v>
      </c>
      <c r="P10" s="26" t="s">
        <v>37</v>
      </c>
      <c r="Q10" s="24" t="s">
        <v>66</v>
      </c>
      <c r="R10" s="28"/>
      <c r="S10" s="25"/>
      <c r="T10" s="25"/>
      <c r="U10" s="26" t="str">
        <f t="shared" si="3"/>
        <v>Critical</v>
      </c>
      <c r="V10" s="26"/>
      <c r="W10" s="26">
        <f t="shared" si="4"/>
        <v>4</v>
      </c>
      <c r="X10" s="26">
        <f t="shared" si="5"/>
        <v>5</v>
      </c>
      <c r="Y10" s="26">
        <f t="shared" si="6"/>
        <v>20</v>
      </c>
      <c r="Z10" s="26" t="str">
        <f t="shared" si="7"/>
        <v>Critical</v>
      </c>
      <c r="AA10" s="26" t="str">
        <f t="shared" si="8"/>
        <v>No Change</v>
      </c>
      <c r="AB10" s="5">
        <f t="shared" si="9"/>
        <v>20.000001000000001</v>
      </c>
    </row>
    <row r="11" spans="1:28" ht="49.5" customHeight="1">
      <c r="A11" s="22">
        <v>6</v>
      </c>
      <c r="B11" s="23" t="s">
        <v>28</v>
      </c>
      <c r="C11" s="23" t="s">
        <v>39</v>
      </c>
      <c r="D11" s="24" t="s">
        <v>67</v>
      </c>
      <c r="E11" s="24" t="s">
        <v>68</v>
      </c>
      <c r="F11" s="24" t="s">
        <v>69</v>
      </c>
      <c r="G11" s="25" t="s">
        <v>70</v>
      </c>
      <c r="H11" s="25" t="s">
        <v>44</v>
      </c>
      <c r="I11" s="25">
        <f t="shared" si="0"/>
        <v>4</v>
      </c>
      <c r="J11" s="25" t="s">
        <v>35</v>
      </c>
      <c r="K11" s="25">
        <f t="shared" si="1"/>
        <v>5</v>
      </c>
      <c r="L11" s="26">
        <f t="shared" si="2"/>
        <v>20</v>
      </c>
      <c r="M11" s="24" t="s">
        <v>71</v>
      </c>
      <c r="N11" s="24"/>
      <c r="O11" s="27">
        <v>45930</v>
      </c>
      <c r="P11" s="26" t="s">
        <v>37</v>
      </c>
      <c r="Q11" s="24" t="s">
        <v>60</v>
      </c>
      <c r="R11" s="28"/>
      <c r="S11" s="25"/>
      <c r="T11" s="25"/>
      <c r="U11" s="26" t="str">
        <f t="shared" si="3"/>
        <v>Critical</v>
      </c>
      <c r="V11" s="26"/>
      <c r="W11" s="26">
        <f t="shared" si="4"/>
        <v>4</v>
      </c>
      <c r="X11" s="26">
        <f t="shared" si="5"/>
        <v>5</v>
      </c>
      <c r="Y11" s="26">
        <f t="shared" si="6"/>
        <v>20</v>
      </c>
      <c r="Z11" s="26" t="str">
        <f t="shared" si="7"/>
        <v>Critical</v>
      </c>
      <c r="AA11" s="26" t="str">
        <f t="shared" si="8"/>
        <v>No Change</v>
      </c>
      <c r="AB11" s="5">
        <f t="shared" si="9"/>
        <v>20.000001099999999</v>
      </c>
    </row>
    <row r="12" spans="1:28" ht="49.5" customHeight="1">
      <c r="A12" s="22">
        <v>7</v>
      </c>
      <c r="B12" s="23" t="s">
        <v>72</v>
      </c>
      <c r="C12" s="23" t="s">
        <v>73</v>
      </c>
      <c r="D12" s="24" t="s">
        <v>74</v>
      </c>
      <c r="E12" s="24" t="s">
        <v>75</v>
      </c>
      <c r="F12" s="24" t="s">
        <v>76</v>
      </c>
      <c r="G12" s="25" t="s">
        <v>43</v>
      </c>
      <c r="H12" s="25" t="s">
        <v>34</v>
      </c>
      <c r="I12" s="25">
        <f t="shared" si="0"/>
        <v>5</v>
      </c>
      <c r="J12" s="25" t="s">
        <v>35</v>
      </c>
      <c r="K12" s="25">
        <f t="shared" si="1"/>
        <v>5</v>
      </c>
      <c r="L12" s="26">
        <f t="shared" si="2"/>
        <v>25</v>
      </c>
      <c r="M12" s="24" t="s">
        <v>77</v>
      </c>
      <c r="N12" s="24"/>
      <c r="O12" s="27">
        <v>45930</v>
      </c>
      <c r="P12" s="26" t="s">
        <v>37</v>
      </c>
      <c r="Q12" s="24" t="s">
        <v>78</v>
      </c>
      <c r="R12" s="28"/>
      <c r="S12" s="25"/>
      <c r="T12" s="25"/>
      <c r="U12" s="26" t="str">
        <f t="shared" si="3"/>
        <v>Critical</v>
      </c>
      <c r="V12" s="26"/>
      <c r="W12" s="26">
        <f t="shared" si="4"/>
        <v>5</v>
      </c>
      <c r="X12" s="26">
        <f t="shared" si="5"/>
        <v>5</v>
      </c>
      <c r="Y12" s="26">
        <f t="shared" si="6"/>
        <v>25</v>
      </c>
      <c r="Z12" s="26" t="str">
        <f t="shared" si="7"/>
        <v>Critical</v>
      </c>
      <c r="AA12" s="26" t="str">
        <f t="shared" si="8"/>
        <v>No Change</v>
      </c>
      <c r="AB12" s="5">
        <f t="shared" si="9"/>
        <v>25.0000012</v>
      </c>
    </row>
    <row r="13" spans="1:28" ht="49.5" customHeight="1">
      <c r="A13" s="22">
        <v>8</v>
      </c>
      <c r="B13" s="23" t="s">
        <v>72</v>
      </c>
      <c r="C13" s="23" t="s">
        <v>29</v>
      </c>
      <c r="D13" s="24" t="s">
        <v>79</v>
      </c>
      <c r="E13" s="24" t="s">
        <v>80</v>
      </c>
      <c r="F13" s="24" t="s">
        <v>81</v>
      </c>
      <c r="G13" s="25" t="s">
        <v>33</v>
      </c>
      <c r="H13" s="25" t="s">
        <v>34</v>
      </c>
      <c r="I13" s="25">
        <f t="shared" si="0"/>
        <v>5</v>
      </c>
      <c r="J13" s="25" t="s">
        <v>51</v>
      </c>
      <c r="K13" s="25">
        <f t="shared" si="1"/>
        <v>4</v>
      </c>
      <c r="L13" s="26">
        <f t="shared" si="2"/>
        <v>20</v>
      </c>
      <c r="M13" s="24" t="s">
        <v>82</v>
      </c>
      <c r="N13" s="24"/>
      <c r="O13" s="27">
        <v>45930</v>
      </c>
      <c r="P13" s="26" t="s">
        <v>37</v>
      </c>
      <c r="Q13" s="24" t="s">
        <v>83</v>
      </c>
      <c r="R13" s="24"/>
      <c r="S13" s="25"/>
      <c r="T13" s="25"/>
      <c r="U13" s="26" t="str">
        <f t="shared" si="3"/>
        <v>Critical</v>
      </c>
      <c r="V13" s="26"/>
      <c r="W13" s="26">
        <f t="shared" si="4"/>
        <v>5</v>
      </c>
      <c r="X13" s="26">
        <f t="shared" si="5"/>
        <v>4</v>
      </c>
      <c r="Y13" s="26">
        <f t="shared" si="6"/>
        <v>20</v>
      </c>
      <c r="Z13" s="26" t="str">
        <f t="shared" si="7"/>
        <v>Critical</v>
      </c>
      <c r="AA13" s="26" t="str">
        <f t="shared" si="8"/>
        <v>No Change</v>
      </c>
      <c r="AB13" s="5">
        <f t="shared" si="9"/>
        <v>20.000001300000001</v>
      </c>
    </row>
    <row r="14" spans="1:28" ht="49.5" customHeight="1">
      <c r="A14" s="22">
        <v>9</v>
      </c>
      <c r="B14" s="23" t="s">
        <v>72</v>
      </c>
      <c r="C14" s="23" t="s">
        <v>54</v>
      </c>
      <c r="D14" s="24" t="s">
        <v>84</v>
      </c>
      <c r="E14" s="24" t="s">
        <v>85</v>
      </c>
      <c r="F14" s="24" t="s">
        <v>86</v>
      </c>
      <c r="G14" s="25" t="s">
        <v>33</v>
      </c>
      <c r="H14" s="25" t="s">
        <v>50</v>
      </c>
      <c r="I14" s="25">
        <f t="shared" si="0"/>
        <v>3</v>
      </c>
      <c r="J14" s="25" t="s">
        <v>51</v>
      </c>
      <c r="K14" s="25">
        <f t="shared" si="1"/>
        <v>4</v>
      </c>
      <c r="L14" s="26">
        <f t="shared" si="2"/>
        <v>12</v>
      </c>
      <c r="M14" s="24" t="s">
        <v>87</v>
      </c>
      <c r="N14" s="24"/>
      <c r="O14" s="27">
        <v>45930</v>
      </c>
      <c r="P14" s="26" t="s">
        <v>37</v>
      </c>
      <c r="Q14" s="24" t="s">
        <v>88</v>
      </c>
      <c r="R14" s="24"/>
      <c r="S14" s="25"/>
      <c r="T14" s="25"/>
      <c r="U14" s="26" t="str">
        <f t="shared" si="3"/>
        <v>High</v>
      </c>
      <c r="V14" s="26"/>
      <c r="W14" s="26">
        <f t="shared" si="4"/>
        <v>3</v>
      </c>
      <c r="X14" s="26">
        <f t="shared" si="5"/>
        <v>4</v>
      </c>
      <c r="Y14" s="26">
        <f t="shared" si="6"/>
        <v>12</v>
      </c>
      <c r="Z14" s="26" t="str">
        <f t="shared" si="7"/>
        <v>High</v>
      </c>
      <c r="AA14" s="26" t="str">
        <f t="shared" si="8"/>
        <v>No Change</v>
      </c>
      <c r="AB14" s="5">
        <f t="shared" si="9"/>
        <v>12.0000014</v>
      </c>
    </row>
    <row r="15" spans="1:28" ht="49.5" customHeight="1">
      <c r="A15" s="22">
        <v>10</v>
      </c>
      <c r="B15" s="23" t="s">
        <v>72</v>
      </c>
      <c r="C15" s="23" t="s">
        <v>89</v>
      </c>
      <c r="D15" s="24" t="s">
        <v>90</v>
      </c>
      <c r="E15" s="24" t="s">
        <v>91</v>
      </c>
      <c r="F15" s="24" t="s">
        <v>92</v>
      </c>
      <c r="G15" s="25" t="s">
        <v>33</v>
      </c>
      <c r="H15" s="25" t="s">
        <v>34</v>
      </c>
      <c r="I15" s="25">
        <f t="shared" si="0"/>
        <v>5</v>
      </c>
      <c r="J15" s="25" t="s">
        <v>35</v>
      </c>
      <c r="K15" s="25">
        <f t="shared" si="1"/>
        <v>5</v>
      </c>
      <c r="L15" s="26">
        <f t="shared" si="2"/>
        <v>25</v>
      </c>
      <c r="M15" s="24" t="s">
        <v>93</v>
      </c>
      <c r="N15" s="24"/>
      <c r="O15" s="27">
        <v>45930</v>
      </c>
      <c r="P15" s="26" t="s">
        <v>37</v>
      </c>
      <c r="Q15" s="24" t="s">
        <v>94</v>
      </c>
      <c r="R15" s="28"/>
      <c r="S15" s="25"/>
      <c r="T15" s="25"/>
      <c r="U15" s="26" t="str">
        <f t="shared" si="3"/>
        <v>Critical</v>
      </c>
      <c r="V15" s="26"/>
      <c r="W15" s="26">
        <f t="shared" si="4"/>
        <v>5</v>
      </c>
      <c r="X15" s="26">
        <f t="shared" si="5"/>
        <v>5</v>
      </c>
      <c r="Y15" s="26">
        <f t="shared" si="6"/>
        <v>25</v>
      </c>
      <c r="Z15" s="26" t="str">
        <f t="shared" si="7"/>
        <v>Critical</v>
      </c>
      <c r="AA15" s="26" t="str">
        <f t="shared" si="8"/>
        <v>No Change</v>
      </c>
      <c r="AB15" s="5">
        <f t="shared" si="9"/>
        <v>25.0000015</v>
      </c>
    </row>
    <row r="16" spans="1:28" ht="49.5" customHeight="1">
      <c r="A16" s="22">
        <v>11</v>
      </c>
      <c r="B16" s="23" t="s">
        <v>95</v>
      </c>
      <c r="C16" s="23" t="s">
        <v>29</v>
      </c>
      <c r="D16" s="24" t="s">
        <v>96</v>
      </c>
      <c r="E16" s="24" t="s">
        <v>97</v>
      </c>
      <c r="F16" s="24" t="s">
        <v>98</v>
      </c>
      <c r="G16" s="25" t="s">
        <v>99</v>
      </c>
      <c r="H16" s="25" t="s">
        <v>34</v>
      </c>
      <c r="I16" s="25">
        <f t="shared" si="0"/>
        <v>5</v>
      </c>
      <c r="J16" s="25" t="s">
        <v>35</v>
      </c>
      <c r="K16" s="25">
        <f t="shared" si="1"/>
        <v>5</v>
      </c>
      <c r="L16" s="26">
        <f t="shared" si="2"/>
        <v>25</v>
      </c>
      <c r="M16" s="24"/>
      <c r="N16" s="24"/>
      <c r="O16" s="27">
        <v>45930</v>
      </c>
      <c r="P16" s="26" t="s">
        <v>37</v>
      </c>
      <c r="Q16" s="24"/>
      <c r="R16" s="24"/>
      <c r="S16" s="25"/>
      <c r="T16" s="25"/>
      <c r="U16" s="26" t="str">
        <f t="shared" si="3"/>
        <v>Critical</v>
      </c>
      <c r="V16" s="26"/>
      <c r="W16" s="26">
        <f t="shared" si="4"/>
        <v>5</v>
      </c>
      <c r="X16" s="26">
        <f t="shared" si="5"/>
        <v>5</v>
      </c>
      <c r="Y16" s="26">
        <f t="shared" si="6"/>
        <v>25</v>
      </c>
      <c r="Z16" s="26" t="str">
        <f t="shared" si="7"/>
        <v>Critical</v>
      </c>
      <c r="AA16" s="26" t="str">
        <f t="shared" si="8"/>
        <v>No Change</v>
      </c>
      <c r="AB16" s="5">
        <f t="shared" si="9"/>
        <v>25.000001600000001</v>
      </c>
    </row>
    <row r="17" spans="1:28" ht="49.5" customHeight="1">
      <c r="A17" s="22">
        <v>12</v>
      </c>
      <c r="B17" s="23" t="s">
        <v>100</v>
      </c>
      <c r="C17" s="23" t="s">
        <v>39</v>
      </c>
      <c r="D17" s="24" t="s">
        <v>101</v>
      </c>
      <c r="E17" s="24" t="s">
        <v>102</v>
      </c>
      <c r="F17" s="24" t="s">
        <v>103</v>
      </c>
      <c r="G17" s="25" t="s">
        <v>33</v>
      </c>
      <c r="H17" s="25" t="s">
        <v>44</v>
      </c>
      <c r="I17" s="25">
        <f t="shared" si="0"/>
        <v>4</v>
      </c>
      <c r="J17" s="25" t="s">
        <v>51</v>
      </c>
      <c r="K17" s="25">
        <f t="shared" si="1"/>
        <v>4</v>
      </c>
      <c r="L17" s="26">
        <f t="shared" si="2"/>
        <v>16</v>
      </c>
      <c r="M17" s="24"/>
      <c r="N17" s="24"/>
      <c r="O17" s="27">
        <v>45930</v>
      </c>
      <c r="P17" s="26" t="s">
        <v>37</v>
      </c>
      <c r="Q17" s="24"/>
      <c r="R17" s="28"/>
      <c r="S17" s="25"/>
      <c r="T17" s="25"/>
      <c r="U17" s="26" t="str">
        <f t="shared" si="3"/>
        <v>Critical</v>
      </c>
      <c r="V17" s="26"/>
      <c r="W17" s="26">
        <f t="shared" si="4"/>
        <v>4</v>
      </c>
      <c r="X17" s="26">
        <f t="shared" si="5"/>
        <v>4</v>
      </c>
      <c r="Y17" s="26">
        <f t="shared" si="6"/>
        <v>16</v>
      </c>
      <c r="Z17" s="26" t="str">
        <f t="shared" si="7"/>
        <v>Critical</v>
      </c>
      <c r="AA17" s="26" t="str">
        <f t="shared" si="8"/>
        <v>No Change</v>
      </c>
      <c r="AB17" s="5">
        <f t="shared" si="9"/>
        <v>16.000001699999999</v>
      </c>
    </row>
    <row r="18" spans="1:28" ht="49.5" customHeight="1">
      <c r="A18" s="22">
        <v>13</v>
      </c>
      <c r="B18" s="23" t="s">
        <v>100</v>
      </c>
      <c r="C18" s="23" t="s">
        <v>54</v>
      </c>
      <c r="D18" s="24" t="s">
        <v>104</v>
      </c>
      <c r="E18" s="24"/>
      <c r="F18" s="24"/>
      <c r="G18" s="25" t="s">
        <v>58</v>
      </c>
      <c r="H18" s="25" t="s">
        <v>50</v>
      </c>
      <c r="I18" s="25">
        <f t="shared" si="0"/>
        <v>3</v>
      </c>
      <c r="J18" s="25" t="s">
        <v>51</v>
      </c>
      <c r="K18" s="25">
        <f t="shared" si="1"/>
        <v>4</v>
      </c>
      <c r="L18" s="26">
        <f t="shared" si="2"/>
        <v>12</v>
      </c>
      <c r="M18" s="24"/>
      <c r="N18" s="24"/>
      <c r="O18" s="27">
        <v>45930</v>
      </c>
      <c r="P18" s="26" t="s">
        <v>37</v>
      </c>
      <c r="Q18" s="24"/>
      <c r="R18" s="24"/>
      <c r="S18" s="25"/>
      <c r="T18" s="25"/>
      <c r="U18" s="26" t="str">
        <f t="shared" si="3"/>
        <v>High</v>
      </c>
      <c r="V18" s="26"/>
      <c r="W18" s="26">
        <f t="shared" si="4"/>
        <v>3</v>
      </c>
      <c r="X18" s="26">
        <f t="shared" si="5"/>
        <v>4</v>
      </c>
      <c r="Y18" s="26">
        <f t="shared" si="6"/>
        <v>12</v>
      </c>
      <c r="Z18" s="26" t="str">
        <f t="shared" si="7"/>
        <v>High</v>
      </c>
      <c r="AA18" s="26" t="str">
        <f t="shared" si="8"/>
        <v>No Change</v>
      </c>
      <c r="AB18" s="5">
        <f t="shared" si="9"/>
        <v>12.0000018</v>
      </c>
    </row>
    <row r="19" spans="1:28" ht="49.5" customHeight="1">
      <c r="A19" s="22">
        <v>14</v>
      </c>
      <c r="B19" s="23" t="s">
        <v>105</v>
      </c>
      <c r="C19" s="23" t="s">
        <v>29</v>
      </c>
      <c r="D19" s="24" t="s">
        <v>106</v>
      </c>
      <c r="E19" s="24"/>
      <c r="F19" s="24" t="s">
        <v>107</v>
      </c>
      <c r="G19" s="25" t="s">
        <v>33</v>
      </c>
      <c r="H19" s="25" t="s">
        <v>108</v>
      </c>
      <c r="I19" s="25">
        <f t="shared" si="0"/>
        <v>2</v>
      </c>
      <c r="J19" s="25" t="s">
        <v>109</v>
      </c>
      <c r="K19" s="25">
        <f t="shared" si="1"/>
        <v>2</v>
      </c>
      <c r="L19" s="26">
        <f t="shared" si="2"/>
        <v>4</v>
      </c>
      <c r="M19" s="24" t="s">
        <v>110</v>
      </c>
      <c r="N19" s="24"/>
      <c r="O19" s="27">
        <v>45930</v>
      </c>
      <c r="P19" s="26" t="s">
        <v>37</v>
      </c>
      <c r="Q19" s="24"/>
      <c r="R19" s="28"/>
      <c r="S19" s="25"/>
      <c r="T19" s="25"/>
      <c r="U19" s="26" t="str">
        <f t="shared" si="3"/>
        <v>Low</v>
      </c>
      <c r="V19" s="26"/>
      <c r="W19" s="26">
        <f t="shared" si="4"/>
        <v>2</v>
      </c>
      <c r="X19" s="26">
        <f t="shared" si="5"/>
        <v>2</v>
      </c>
      <c r="Y19" s="26">
        <f t="shared" si="6"/>
        <v>4</v>
      </c>
      <c r="Z19" s="26" t="str">
        <f t="shared" si="7"/>
        <v>Low</v>
      </c>
      <c r="AA19" s="26" t="str">
        <f t="shared" si="8"/>
        <v>No Change</v>
      </c>
      <c r="AB19" s="5">
        <f t="shared" si="9"/>
        <v>4.0000019</v>
      </c>
    </row>
    <row r="20" spans="1:28" ht="49.5" customHeight="1">
      <c r="A20" s="22">
        <v>15</v>
      </c>
      <c r="B20" s="23" t="s">
        <v>105</v>
      </c>
      <c r="C20" s="23" t="s">
        <v>29</v>
      </c>
      <c r="D20" s="24" t="s">
        <v>111</v>
      </c>
      <c r="E20" s="24" t="s">
        <v>112</v>
      </c>
      <c r="F20" s="24" t="s">
        <v>113</v>
      </c>
      <c r="G20" s="25" t="s">
        <v>33</v>
      </c>
      <c r="H20" s="25" t="s">
        <v>44</v>
      </c>
      <c r="I20" s="25">
        <f t="shared" si="0"/>
        <v>4</v>
      </c>
      <c r="J20" s="25" t="s">
        <v>51</v>
      </c>
      <c r="K20" s="25">
        <f t="shared" si="1"/>
        <v>4</v>
      </c>
      <c r="L20" s="26">
        <f t="shared" si="2"/>
        <v>16</v>
      </c>
      <c r="M20" s="24" t="s">
        <v>114</v>
      </c>
      <c r="N20" s="24"/>
      <c r="O20" s="27">
        <v>45930</v>
      </c>
      <c r="P20" s="26" t="s">
        <v>37</v>
      </c>
      <c r="Q20" s="24" t="s">
        <v>115</v>
      </c>
      <c r="R20" s="24"/>
      <c r="S20" s="25"/>
      <c r="T20" s="25"/>
      <c r="U20" s="26" t="str">
        <f t="shared" si="3"/>
        <v>Critical</v>
      </c>
      <c r="V20" s="26"/>
      <c r="W20" s="26">
        <f t="shared" si="4"/>
        <v>4</v>
      </c>
      <c r="X20" s="26">
        <f t="shared" si="5"/>
        <v>4</v>
      </c>
      <c r="Y20" s="26">
        <f t="shared" si="6"/>
        <v>16</v>
      </c>
      <c r="Z20" s="26" t="str">
        <f t="shared" si="7"/>
        <v>Critical</v>
      </c>
      <c r="AA20" s="26" t="str">
        <f t="shared" si="8"/>
        <v>No Change</v>
      </c>
      <c r="AB20" s="5">
        <f t="shared" si="9"/>
        <v>16.000001999999999</v>
      </c>
    </row>
    <row r="21" spans="1:28" ht="49.5" customHeight="1">
      <c r="A21" s="22">
        <v>16</v>
      </c>
      <c r="B21" s="23" t="s">
        <v>105</v>
      </c>
      <c r="C21" s="23" t="s">
        <v>54</v>
      </c>
      <c r="D21" s="24" t="s">
        <v>116</v>
      </c>
      <c r="E21" s="24" t="s">
        <v>117</v>
      </c>
      <c r="F21" s="24" t="s">
        <v>118</v>
      </c>
      <c r="G21" s="25" t="s">
        <v>58</v>
      </c>
      <c r="H21" s="25" t="s">
        <v>50</v>
      </c>
      <c r="I21" s="25">
        <f t="shared" si="0"/>
        <v>3</v>
      </c>
      <c r="J21" s="25" t="s">
        <v>119</v>
      </c>
      <c r="K21" s="25">
        <f t="shared" si="1"/>
        <v>3</v>
      </c>
      <c r="L21" s="26">
        <f t="shared" si="2"/>
        <v>9</v>
      </c>
      <c r="M21" s="24" t="s">
        <v>120</v>
      </c>
      <c r="N21" s="24"/>
      <c r="O21" s="27">
        <v>45930</v>
      </c>
      <c r="P21" s="26" t="s">
        <v>37</v>
      </c>
      <c r="Q21" s="24" t="s">
        <v>121</v>
      </c>
      <c r="R21" s="28"/>
      <c r="S21" s="25"/>
      <c r="T21" s="25"/>
      <c r="U21" s="26" t="str">
        <f t="shared" si="3"/>
        <v>Medium</v>
      </c>
      <c r="V21" s="26"/>
      <c r="W21" s="26">
        <f t="shared" si="4"/>
        <v>3</v>
      </c>
      <c r="X21" s="26">
        <f t="shared" si="5"/>
        <v>3</v>
      </c>
      <c r="Y21" s="26">
        <f t="shared" si="6"/>
        <v>9</v>
      </c>
      <c r="Z21" s="26" t="str">
        <f t="shared" si="7"/>
        <v>Medium</v>
      </c>
      <c r="AA21" s="26" t="str">
        <f t="shared" si="8"/>
        <v>No Change</v>
      </c>
      <c r="AB21" s="5">
        <f t="shared" si="9"/>
        <v>9.0000020999999997</v>
      </c>
    </row>
    <row r="22" spans="1:28" ht="49.5" customHeight="1">
      <c r="A22" s="22">
        <v>17</v>
      </c>
      <c r="B22" s="23" t="s">
        <v>105</v>
      </c>
      <c r="C22" s="23" t="s">
        <v>54</v>
      </c>
      <c r="D22" s="24" t="s">
        <v>122</v>
      </c>
      <c r="E22" s="24" t="s">
        <v>123</v>
      </c>
      <c r="F22" s="24" t="s">
        <v>124</v>
      </c>
      <c r="G22" s="25" t="s">
        <v>99</v>
      </c>
      <c r="H22" s="25" t="s">
        <v>108</v>
      </c>
      <c r="I22" s="25">
        <f t="shared" si="0"/>
        <v>2</v>
      </c>
      <c r="J22" s="25" t="s">
        <v>119</v>
      </c>
      <c r="K22" s="25">
        <f t="shared" si="1"/>
        <v>3</v>
      </c>
      <c r="L22" s="26">
        <f t="shared" si="2"/>
        <v>6</v>
      </c>
      <c r="M22" s="24" t="s">
        <v>125</v>
      </c>
      <c r="N22" s="24"/>
      <c r="O22" s="27">
        <v>45930</v>
      </c>
      <c r="P22" s="26" t="s">
        <v>37</v>
      </c>
      <c r="Q22" s="24" t="s">
        <v>126</v>
      </c>
      <c r="R22" s="24"/>
      <c r="S22" s="25"/>
      <c r="T22" s="25"/>
      <c r="U22" s="26" t="str">
        <f t="shared" si="3"/>
        <v>Medium</v>
      </c>
      <c r="V22" s="26"/>
      <c r="W22" s="26">
        <f t="shared" si="4"/>
        <v>2</v>
      </c>
      <c r="X22" s="26">
        <f t="shared" si="5"/>
        <v>3</v>
      </c>
      <c r="Y22" s="26">
        <f t="shared" si="6"/>
        <v>6</v>
      </c>
      <c r="Z22" s="26" t="str">
        <f t="shared" si="7"/>
        <v>Medium</v>
      </c>
      <c r="AA22" s="26" t="str">
        <f t="shared" si="8"/>
        <v>No Change</v>
      </c>
      <c r="AB22" s="5">
        <f t="shared" si="9"/>
        <v>6.0000022</v>
      </c>
    </row>
    <row r="23" spans="1:28" ht="49.5" customHeight="1">
      <c r="A23" s="22">
        <v>18</v>
      </c>
      <c r="B23" s="23" t="s">
        <v>127</v>
      </c>
      <c r="C23" s="23" t="s">
        <v>29</v>
      </c>
      <c r="D23" s="24" t="s">
        <v>128</v>
      </c>
      <c r="E23" s="24" t="s">
        <v>129</v>
      </c>
      <c r="F23" s="24" t="s">
        <v>130</v>
      </c>
      <c r="G23" s="25" t="s">
        <v>33</v>
      </c>
      <c r="H23" s="25" t="s">
        <v>50</v>
      </c>
      <c r="I23" s="25">
        <f t="shared" si="0"/>
        <v>3</v>
      </c>
      <c r="J23" s="25" t="s">
        <v>35</v>
      </c>
      <c r="K23" s="25">
        <f t="shared" si="1"/>
        <v>5</v>
      </c>
      <c r="L23" s="26">
        <f t="shared" si="2"/>
        <v>15</v>
      </c>
      <c r="M23" s="24" t="s">
        <v>131</v>
      </c>
      <c r="N23" s="24"/>
      <c r="O23" s="27">
        <v>45930</v>
      </c>
      <c r="P23" s="26" t="s">
        <v>37</v>
      </c>
      <c r="Q23" s="24" t="s">
        <v>132</v>
      </c>
      <c r="R23" s="24"/>
      <c r="S23" s="25"/>
      <c r="T23" s="25"/>
      <c r="U23" s="26" t="str">
        <f t="shared" si="3"/>
        <v>High</v>
      </c>
      <c r="V23" s="26"/>
      <c r="W23" s="26">
        <f t="shared" si="4"/>
        <v>3</v>
      </c>
      <c r="X23" s="26">
        <f t="shared" si="5"/>
        <v>5</v>
      </c>
      <c r="Y23" s="26">
        <f t="shared" si="6"/>
        <v>15</v>
      </c>
      <c r="Z23" s="26" t="str">
        <f t="shared" si="7"/>
        <v>High</v>
      </c>
      <c r="AA23" s="26" t="str">
        <f t="shared" si="8"/>
        <v>No Change</v>
      </c>
      <c r="AB23" s="5">
        <f t="shared" si="9"/>
        <v>15.0000023</v>
      </c>
    </row>
    <row r="24" spans="1:28" ht="49.5" customHeight="1">
      <c r="A24" s="22">
        <v>19</v>
      </c>
      <c r="B24" s="23" t="s">
        <v>127</v>
      </c>
      <c r="C24" s="23" t="s">
        <v>54</v>
      </c>
      <c r="D24" s="24" t="s">
        <v>133</v>
      </c>
      <c r="E24" s="24" t="s">
        <v>134</v>
      </c>
      <c r="F24" s="24" t="s">
        <v>135</v>
      </c>
      <c r="G24" s="25" t="s">
        <v>33</v>
      </c>
      <c r="H24" s="25" t="s">
        <v>50</v>
      </c>
      <c r="I24" s="25">
        <f t="shared" si="0"/>
        <v>3</v>
      </c>
      <c r="J24" s="25" t="s">
        <v>35</v>
      </c>
      <c r="K24" s="25">
        <f t="shared" si="1"/>
        <v>5</v>
      </c>
      <c r="L24" s="26">
        <f t="shared" si="2"/>
        <v>15</v>
      </c>
      <c r="M24" s="24" t="s">
        <v>136</v>
      </c>
      <c r="N24" s="24"/>
      <c r="O24" s="27">
        <v>45930</v>
      </c>
      <c r="P24" s="26" t="s">
        <v>37</v>
      </c>
      <c r="Q24" s="24" t="s">
        <v>137</v>
      </c>
      <c r="R24" s="24"/>
      <c r="S24" s="25"/>
      <c r="T24" s="25"/>
      <c r="U24" s="26" t="str">
        <f t="shared" si="3"/>
        <v>High</v>
      </c>
      <c r="V24" s="26"/>
      <c r="W24" s="26">
        <f t="shared" si="4"/>
        <v>3</v>
      </c>
      <c r="X24" s="26">
        <f t="shared" si="5"/>
        <v>5</v>
      </c>
      <c r="Y24" s="26">
        <f t="shared" si="6"/>
        <v>15</v>
      </c>
      <c r="Z24" s="26" t="str">
        <f t="shared" si="7"/>
        <v>High</v>
      </c>
      <c r="AA24" s="26" t="str">
        <f t="shared" si="8"/>
        <v>No Change</v>
      </c>
      <c r="AB24" s="5">
        <f t="shared" si="9"/>
        <v>15.0000024</v>
      </c>
    </row>
    <row r="25" spans="1:28" ht="49.5" customHeight="1">
      <c r="A25" s="22">
        <v>20</v>
      </c>
      <c r="B25" s="23" t="s">
        <v>127</v>
      </c>
      <c r="C25" s="23" t="s">
        <v>138</v>
      </c>
      <c r="D25" s="24" t="s">
        <v>139</v>
      </c>
      <c r="E25" s="24" t="s">
        <v>140</v>
      </c>
      <c r="F25" s="24" t="s">
        <v>141</v>
      </c>
      <c r="G25" s="25" t="s">
        <v>43</v>
      </c>
      <c r="H25" s="25" t="s">
        <v>50</v>
      </c>
      <c r="I25" s="25">
        <f t="shared" si="0"/>
        <v>3</v>
      </c>
      <c r="J25" s="25" t="s">
        <v>35</v>
      </c>
      <c r="K25" s="25">
        <f t="shared" si="1"/>
        <v>5</v>
      </c>
      <c r="L25" s="26">
        <f t="shared" si="2"/>
        <v>15</v>
      </c>
      <c r="M25" s="24" t="s">
        <v>142</v>
      </c>
      <c r="N25" s="24"/>
      <c r="O25" s="27">
        <v>45930</v>
      </c>
      <c r="P25" s="26" t="s">
        <v>37</v>
      </c>
      <c r="Q25" s="24" t="s">
        <v>143</v>
      </c>
      <c r="R25" s="24"/>
      <c r="S25" s="25"/>
      <c r="T25" s="25"/>
      <c r="U25" s="26" t="str">
        <f t="shared" si="3"/>
        <v>High</v>
      </c>
      <c r="V25" s="26"/>
      <c r="W25" s="26">
        <f t="shared" si="4"/>
        <v>3</v>
      </c>
      <c r="X25" s="26">
        <f t="shared" si="5"/>
        <v>5</v>
      </c>
      <c r="Y25" s="26">
        <f t="shared" si="6"/>
        <v>15</v>
      </c>
      <c r="Z25" s="26" t="str">
        <f t="shared" si="7"/>
        <v>High</v>
      </c>
      <c r="AA25" s="26" t="str">
        <f t="shared" si="8"/>
        <v>No Change</v>
      </c>
      <c r="AB25" s="5">
        <f t="shared" si="9"/>
        <v>15.000002500000001</v>
      </c>
    </row>
    <row r="26" spans="1:28" ht="49.5" customHeight="1">
      <c r="A26" s="22">
        <v>21</v>
      </c>
      <c r="B26" s="23" t="s">
        <v>127</v>
      </c>
      <c r="C26" s="23" t="s">
        <v>39</v>
      </c>
      <c r="D26" s="24" t="s">
        <v>144</v>
      </c>
      <c r="E26" s="24" t="s">
        <v>145</v>
      </c>
      <c r="F26" s="24" t="s">
        <v>146</v>
      </c>
      <c r="G26" s="25" t="s">
        <v>58</v>
      </c>
      <c r="H26" s="25" t="s">
        <v>34</v>
      </c>
      <c r="I26" s="25">
        <f t="shared" si="0"/>
        <v>5</v>
      </c>
      <c r="J26" s="25" t="s">
        <v>35</v>
      </c>
      <c r="K26" s="25">
        <f t="shared" si="1"/>
        <v>5</v>
      </c>
      <c r="L26" s="26">
        <f t="shared" si="2"/>
        <v>25</v>
      </c>
      <c r="M26" s="24" t="s">
        <v>147</v>
      </c>
      <c r="N26" s="24"/>
      <c r="O26" s="27">
        <v>45930</v>
      </c>
      <c r="P26" s="26" t="s">
        <v>37</v>
      </c>
      <c r="Q26" s="24" t="s">
        <v>148</v>
      </c>
      <c r="R26" s="28"/>
      <c r="S26" s="25"/>
      <c r="T26" s="25"/>
      <c r="U26" s="26" t="str">
        <f t="shared" si="3"/>
        <v>Critical</v>
      </c>
      <c r="V26" s="26"/>
      <c r="W26" s="26">
        <f t="shared" si="4"/>
        <v>5</v>
      </c>
      <c r="X26" s="26">
        <f t="shared" si="5"/>
        <v>5</v>
      </c>
      <c r="Y26" s="26">
        <f t="shared" si="6"/>
        <v>25</v>
      </c>
      <c r="Z26" s="26" t="str">
        <f t="shared" si="7"/>
        <v>Critical</v>
      </c>
      <c r="AA26" s="26" t="str">
        <f t="shared" si="8"/>
        <v>No Change</v>
      </c>
      <c r="AB26" s="5">
        <f t="shared" si="9"/>
        <v>25.000002599999998</v>
      </c>
    </row>
    <row r="27" spans="1:28" ht="49.5" customHeight="1">
      <c r="A27" s="22">
        <v>22</v>
      </c>
      <c r="B27" s="23" t="s">
        <v>127</v>
      </c>
      <c r="C27" s="23" t="s">
        <v>89</v>
      </c>
      <c r="D27" s="24" t="s">
        <v>149</v>
      </c>
      <c r="E27" s="24" t="s">
        <v>150</v>
      </c>
      <c r="F27" s="24" t="s">
        <v>151</v>
      </c>
      <c r="G27" s="25" t="s">
        <v>152</v>
      </c>
      <c r="H27" s="25" t="s">
        <v>44</v>
      </c>
      <c r="I27" s="25">
        <f t="shared" si="0"/>
        <v>4</v>
      </c>
      <c r="J27" s="25" t="s">
        <v>35</v>
      </c>
      <c r="K27" s="25">
        <f t="shared" si="1"/>
        <v>5</v>
      </c>
      <c r="L27" s="26">
        <f t="shared" si="2"/>
        <v>20</v>
      </c>
      <c r="M27" s="24" t="s">
        <v>153</v>
      </c>
      <c r="N27" s="24"/>
      <c r="O27" s="27">
        <v>45930</v>
      </c>
      <c r="P27" s="26" t="s">
        <v>37</v>
      </c>
      <c r="Q27" s="24" t="s">
        <v>154</v>
      </c>
      <c r="R27" s="24"/>
      <c r="S27" s="25"/>
      <c r="T27" s="25"/>
      <c r="U27" s="26" t="str">
        <f t="shared" si="3"/>
        <v>Critical</v>
      </c>
      <c r="V27" s="26"/>
      <c r="W27" s="26">
        <f t="shared" si="4"/>
        <v>4</v>
      </c>
      <c r="X27" s="26">
        <f t="shared" si="5"/>
        <v>5</v>
      </c>
      <c r="Y27" s="26">
        <f t="shared" si="6"/>
        <v>20</v>
      </c>
      <c r="Z27" s="26" t="str">
        <f t="shared" si="7"/>
        <v>Critical</v>
      </c>
      <c r="AA27" s="26" t="str">
        <f t="shared" si="8"/>
        <v>No Change</v>
      </c>
      <c r="AB27" s="5">
        <f t="shared" si="9"/>
        <v>20.0000027</v>
      </c>
    </row>
    <row r="28" spans="1:28" ht="49.5" customHeight="1">
      <c r="A28" s="22">
        <v>23</v>
      </c>
      <c r="B28" s="23" t="s">
        <v>127</v>
      </c>
      <c r="C28" s="23" t="s">
        <v>89</v>
      </c>
      <c r="D28" s="24" t="s">
        <v>155</v>
      </c>
      <c r="E28" s="24" t="s">
        <v>156</v>
      </c>
      <c r="F28" s="24" t="s">
        <v>157</v>
      </c>
      <c r="G28" s="25" t="s">
        <v>152</v>
      </c>
      <c r="H28" s="25" t="s">
        <v>108</v>
      </c>
      <c r="I28" s="25">
        <f t="shared" si="0"/>
        <v>2</v>
      </c>
      <c r="J28" s="25" t="s">
        <v>35</v>
      </c>
      <c r="K28" s="25">
        <f t="shared" si="1"/>
        <v>5</v>
      </c>
      <c r="L28" s="26">
        <f t="shared" si="2"/>
        <v>10</v>
      </c>
      <c r="M28" s="24" t="s">
        <v>158</v>
      </c>
      <c r="N28" s="24"/>
      <c r="O28" s="27">
        <v>45930</v>
      </c>
      <c r="P28" s="26" t="s">
        <v>37</v>
      </c>
      <c r="Q28" s="24" t="s">
        <v>159</v>
      </c>
      <c r="R28" s="28"/>
      <c r="S28" s="25"/>
      <c r="T28" s="25"/>
      <c r="U28" s="26" t="str">
        <f t="shared" si="3"/>
        <v>High</v>
      </c>
      <c r="V28" s="26"/>
      <c r="W28" s="26">
        <f t="shared" si="4"/>
        <v>2</v>
      </c>
      <c r="X28" s="26">
        <f t="shared" si="5"/>
        <v>5</v>
      </c>
      <c r="Y28" s="26">
        <f t="shared" si="6"/>
        <v>10</v>
      </c>
      <c r="Z28" s="26" t="str">
        <f t="shared" si="7"/>
        <v>High</v>
      </c>
      <c r="AA28" s="26" t="str">
        <f t="shared" si="8"/>
        <v>No Change</v>
      </c>
      <c r="AB28" s="5">
        <f t="shared" si="9"/>
        <v>10.000002800000001</v>
      </c>
    </row>
    <row r="29" spans="1:28" ht="49.5" customHeight="1">
      <c r="A29" s="22">
        <v>24</v>
      </c>
      <c r="B29" s="23" t="s">
        <v>127</v>
      </c>
      <c r="C29" s="23" t="s">
        <v>89</v>
      </c>
      <c r="D29" s="24" t="s">
        <v>160</v>
      </c>
      <c r="E29" s="24" t="s">
        <v>161</v>
      </c>
      <c r="F29" s="24" t="s">
        <v>162</v>
      </c>
      <c r="G29" s="25" t="s">
        <v>152</v>
      </c>
      <c r="H29" s="25" t="s">
        <v>50</v>
      </c>
      <c r="I29" s="25">
        <f t="shared" si="0"/>
        <v>3</v>
      </c>
      <c r="J29" s="25" t="s">
        <v>35</v>
      </c>
      <c r="K29" s="25">
        <f t="shared" si="1"/>
        <v>5</v>
      </c>
      <c r="L29" s="26">
        <f t="shared" si="2"/>
        <v>15</v>
      </c>
      <c r="M29" s="24" t="s">
        <v>163</v>
      </c>
      <c r="N29" s="24"/>
      <c r="O29" s="27">
        <v>45930</v>
      </c>
      <c r="P29" s="26" t="s">
        <v>37</v>
      </c>
      <c r="Q29" s="24" t="s">
        <v>164</v>
      </c>
      <c r="R29" s="28"/>
      <c r="S29" s="25"/>
      <c r="T29" s="25"/>
      <c r="U29" s="26" t="str">
        <f t="shared" si="3"/>
        <v>High</v>
      </c>
      <c r="V29" s="26"/>
      <c r="W29" s="26">
        <f t="shared" si="4"/>
        <v>3</v>
      </c>
      <c r="X29" s="26">
        <f t="shared" si="5"/>
        <v>5</v>
      </c>
      <c r="Y29" s="26">
        <f t="shared" si="6"/>
        <v>15</v>
      </c>
      <c r="Z29" s="26" t="str">
        <f t="shared" si="7"/>
        <v>High</v>
      </c>
      <c r="AA29" s="26" t="str">
        <f t="shared" si="8"/>
        <v>No Change</v>
      </c>
      <c r="AB29" s="5">
        <f t="shared" si="9"/>
        <v>15.0000029</v>
      </c>
    </row>
    <row r="30" spans="1:28" ht="49.5" customHeight="1">
      <c r="A30" s="22">
        <v>25</v>
      </c>
      <c r="B30" s="23" t="s">
        <v>165</v>
      </c>
      <c r="C30" s="23" t="s">
        <v>89</v>
      </c>
      <c r="D30" s="24" t="s">
        <v>166</v>
      </c>
      <c r="E30" s="24" t="s">
        <v>167</v>
      </c>
      <c r="F30" s="24" t="s">
        <v>168</v>
      </c>
      <c r="G30" s="25" t="s">
        <v>58</v>
      </c>
      <c r="H30" s="25" t="s">
        <v>44</v>
      </c>
      <c r="I30" s="25">
        <f t="shared" si="0"/>
        <v>4</v>
      </c>
      <c r="J30" s="25" t="s">
        <v>35</v>
      </c>
      <c r="K30" s="25">
        <f t="shared" si="1"/>
        <v>5</v>
      </c>
      <c r="L30" s="26">
        <f t="shared" si="2"/>
        <v>20</v>
      </c>
      <c r="M30" s="24" t="s">
        <v>169</v>
      </c>
      <c r="N30" s="24"/>
      <c r="O30" s="27">
        <v>45930</v>
      </c>
      <c r="P30" s="26" t="s">
        <v>37</v>
      </c>
      <c r="Q30" s="24" t="s">
        <v>170</v>
      </c>
      <c r="R30" s="28"/>
      <c r="S30" s="25"/>
      <c r="T30" s="25"/>
      <c r="U30" s="26" t="str">
        <f t="shared" si="3"/>
        <v>Critical</v>
      </c>
      <c r="V30" s="26"/>
      <c r="W30" s="26">
        <f t="shared" si="4"/>
        <v>4</v>
      </c>
      <c r="X30" s="26">
        <f t="shared" si="5"/>
        <v>5</v>
      </c>
      <c r="Y30" s="26">
        <f t="shared" si="6"/>
        <v>20</v>
      </c>
      <c r="Z30" s="26" t="str">
        <f t="shared" si="7"/>
        <v>Critical</v>
      </c>
      <c r="AA30" s="26" t="str">
        <f t="shared" si="8"/>
        <v>No Change</v>
      </c>
      <c r="AB30" s="5">
        <f t="shared" si="9"/>
        <v>20.000003</v>
      </c>
    </row>
    <row r="31" spans="1:28" ht="49.5" customHeight="1">
      <c r="A31" s="22">
        <v>26</v>
      </c>
      <c r="B31" s="23" t="s">
        <v>165</v>
      </c>
      <c r="C31" s="23" t="s">
        <v>171</v>
      </c>
      <c r="D31" s="24" t="s">
        <v>172</v>
      </c>
      <c r="E31" s="24" t="s">
        <v>173</v>
      </c>
      <c r="F31" s="24" t="s">
        <v>174</v>
      </c>
      <c r="G31" s="25" t="s">
        <v>33</v>
      </c>
      <c r="H31" s="25" t="s">
        <v>108</v>
      </c>
      <c r="I31" s="25">
        <f t="shared" si="0"/>
        <v>2</v>
      </c>
      <c r="J31" s="25" t="s">
        <v>51</v>
      </c>
      <c r="K31" s="25">
        <f t="shared" si="1"/>
        <v>4</v>
      </c>
      <c r="L31" s="26">
        <f t="shared" si="2"/>
        <v>8</v>
      </c>
      <c r="M31" s="24" t="s">
        <v>175</v>
      </c>
      <c r="N31" s="24"/>
      <c r="O31" s="27">
        <v>45930</v>
      </c>
      <c r="P31" s="26" t="s">
        <v>37</v>
      </c>
      <c r="Q31" s="24" t="s">
        <v>170</v>
      </c>
      <c r="R31" s="24"/>
      <c r="S31" s="25"/>
      <c r="T31" s="25"/>
      <c r="U31" s="26" t="str">
        <f t="shared" si="3"/>
        <v>Medium</v>
      </c>
      <c r="V31" s="26"/>
      <c r="W31" s="26">
        <f t="shared" si="4"/>
        <v>2</v>
      </c>
      <c r="X31" s="26">
        <f t="shared" si="5"/>
        <v>4</v>
      </c>
      <c r="Y31" s="26">
        <f t="shared" si="6"/>
        <v>8</v>
      </c>
      <c r="Z31" s="26" t="str">
        <f t="shared" si="7"/>
        <v>Medium</v>
      </c>
      <c r="AA31" s="26" t="str">
        <f t="shared" si="8"/>
        <v>No Change</v>
      </c>
      <c r="AB31" s="5">
        <f t="shared" si="9"/>
        <v>8.0000031000000007</v>
      </c>
    </row>
    <row r="32" spans="1:28" ht="49.5" customHeight="1">
      <c r="A32" s="22">
        <v>27</v>
      </c>
      <c r="B32" s="23" t="s">
        <v>165</v>
      </c>
      <c r="C32" s="23" t="s">
        <v>54</v>
      </c>
      <c r="D32" s="24" t="s">
        <v>176</v>
      </c>
      <c r="E32" s="24" t="s">
        <v>177</v>
      </c>
      <c r="F32" s="24" t="s">
        <v>178</v>
      </c>
      <c r="G32" s="25" t="s">
        <v>33</v>
      </c>
      <c r="H32" s="25" t="s">
        <v>108</v>
      </c>
      <c r="I32" s="25">
        <f t="shared" si="0"/>
        <v>2</v>
      </c>
      <c r="J32" s="25" t="s">
        <v>35</v>
      </c>
      <c r="K32" s="25">
        <f t="shared" si="1"/>
        <v>5</v>
      </c>
      <c r="L32" s="26">
        <f t="shared" si="2"/>
        <v>10</v>
      </c>
      <c r="M32" s="24" t="s">
        <v>179</v>
      </c>
      <c r="N32" s="24"/>
      <c r="O32" s="27">
        <v>45930</v>
      </c>
      <c r="P32" s="26" t="s">
        <v>37</v>
      </c>
      <c r="Q32" s="24" t="s">
        <v>170</v>
      </c>
      <c r="R32" s="28"/>
      <c r="S32" s="25"/>
      <c r="T32" s="25"/>
      <c r="U32" s="26" t="str">
        <f t="shared" si="3"/>
        <v>High</v>
      </c>
      <c r="V32" s="26"/>
      <c r="W32" s="26">
        <f t="shared" si="4"/>
        <v>2</v>
      </c>
      <c r="X32" s="26">
        <f t="shared" si="5"/>
        <v>5</v>
      </c>
      <c r="Y32" s="26">
        <f t="shared" si="6"/>
        <v>10</v>
      </c>
      <c r="Z32" s="26" t="str">
        <f t="shared" si="7"/>
        <v>High</v>
      </c>
      <c r="AA32" s="26" t="str">
        <f t="shared" si="8"/>
        <v>No Change</v>
      </c>
      <c r="AB32" s="5">
        <f t="shared" si="9"/>
        <v>10.0000032</v>
      </c>
    </row>
    <row r="33" spans="1:28" ht="49.5" customHeight="1">
      <c r="A33" s="22">
        <v>28</v>
      </c>
      <c r="B33" s="23" t="s">
        <v>165</v>
      </c>
      <c r="C33" s="23" t="s">
        <v>29</v>
      </c>
      <c r="D33" s="24" t="s">
        <v>180</v>
      </c>
      <c r="E33" s="24" t="s">
        <v>181</v>
      </c>
      <c r="F33" s="24" t="s">
        <v>182</v>
      </c>
      <c r="G33" s="25" t="s">
        <v>33</v>
      </c>
      <c r="H33" s="25" t="s">
        <v>108</v>
      </c>
      <c r="I33" s="25">
        <f t="shared" si="0"/>
        <v>2</v>
      </c>
      <c r="J33" s="25" t="s">
        <v>51</v>
      </c>
      <c r="K33" s="25">
        <f t="shared" si="1"/>
        <v>4</v>
      </c>
      <c r="L33" s="26">
        <f t="shared" si="2"/>
        <v>8</v>
      </c>
      <c r="M33" s="24" t="s">
        <v>183</v>
      </c>
      <c r="N33" s="24"/>
      <c r="O33" s="27">
        <v>45930</v>
      </c>
      <c r="P33" s="26" t="s">
        <v>37</v>
      </c>
      <c r="Q33" s="24" t="s">
        <v>170</v>
      </c>
      <c r="R33" s="28"/>
      <c r="S33" s="25"/>
      <c r="T33" s="25"/>
      <c r="U33" s="26" t="str">
        <f t="shared" si="3"/>
        <v>Medium</v>
      </c>
      <c r="V33" s="26"/>
      <c r="W33" s="26">
        <f t="shared" si="4"/>
        <v>2</v>
      </c>
      <c r="X33" s="26">
        <f t="shared" si="5"/>
        <v>4</v>
      </c>
      <c r="Y33" s="26">
        <f t="shared" si="6"/>
        <v>8</v>
      </c>
      <c r="Z33" s="26" t="str">
        <f t="shared" si="7"/>
        <v>Medium</v>
      </c>
      <c r="AA33" s="26" t="str">
        <f t="shared" si="8"/>
        <v>No Change</v>
      </c>
      <c r="AB33" s="5">
        <f t="shared" si="9"/>
        <v>8.0000032999999995</v>
      </c>
    </row>
    <row r="34" spans="1:28" ht="49.5" customHeight="1">
      <c r="A34" s="22">
        <v>29</v>
      </c>
      <c r="B34" s="23" t="s">
        <v>165</v>
      </c>
      <c r="C34" s="23" t="s">
        <v>184</v>
      </c>
      <c r="D34" s="24" t="s">
        <v>185</v>
      </c>
      <c r="E34" s="24" t="s">
        <v>186</v>
      </c>
      <c r="F34" s="24" t="s">
        <v>187</v>
      </c>
      <c r="G34" s="25" t="s">
        <v>33</v>
      </c>
      <c r="H34" s="25" t="s">
        <v>44</v>
      </c>
      <c r="I34" s="25">
        <f t="shared" si="0"/>
        <v>4</v>
      </c>
      <c r="J34" s="25" t="s">
        <v>35</v>
      </c>
      <c r="K34" s="25">
        <f t="shared" si="1"/>
        <v>5</v>
      </c>
      <c r="L34" s="26">
        <f t="shared" si="2"/>
        <v>20</v>
      </c>
      <c r="M34" s="24" t="s">
        <v>188</v>
      </c>
      <c r="N34" s="24"/>
      <c r="O34" s="27">
        <v>45930</v>
      </c>
      <c r="P34" s="26" t="s">
        <v>37</v>
      </c>
      <c r="Q34" s="24" t="s">
        <v>170</v>
      </c>
      <c r="R34" s="24"/>
      <c r="S34" s="25"/>
      <c r="T34" s="25"/>
      <c r="U34" s="26" t="str">
        <f t="shared" si="3"/>
        <v>Critical</v>
      </c>
      <c r="V34" s="26"/>
      <c r="W34" s="26">
        <f t="shared" si="4"/>
        <v>4</v>
      </c>
      <c r="X34" s="26">
        <f t="shared" si="5"/>
        <v>5</v>
      </c>
      <c r="Y34" s="26">
        <f t="shared" si="6"/>
        <v>20</v>
      </c>
      <c r="Z34" s="26" t="str">
        <f t="shared" si="7"/>
        <v>Critical</v>
      </c>
      <c r="AA34" s="26" t="str">
        <f t="shared" si="8"/>
        <v>No Change</v>
      </c>
      <c r="AB34" s="5">
        <f t="shared" si="9"/>
        <v>20.000003400000001</v>
      </c>
    </row>
    <row r="35" spans="1:28" ht="49.5" customHeight="1">
      <c r="A35" s="22">
        <v>30</v>
      </c>
      <c r="B35" s="23" t="s">
        <v>165</v>
      </c>
      <c r="C35" s="23" t="s">
        <v>29</v>
      </c>
      <c r="D35" s="24" t="s">
        <v>189</v>
      </c>
      <c r="E35" s="24" t="s">
        <v>190</v>
      </c>
      <c r="F35" s="24" t="s">
        <v>191</v>
      </c>
      <c r="G35" s="25" t="s">
        <v>33</v>
      </c>
      <c r="H35" s="25" t="s">
        <v>108</v>
      </c>
      <c r="I35" s="25">
        <f t="shared" si="0"/>
        <v>2</v>
      </c>
      <c r="J35" s="25" t="s">
        <v>35</v>
      </c>
      <c r="K35" s="25">
        <f t="shared" si="1"/>
        <v>5</v>
      </c>
      <c r="L35" s="26">
        <f t="shared" si="2"/>
        <v>10</v>
      </c>
      <c r="M35" s="24" t="s">
        <v>192</v>
      </c>
      <c r="N35" s="24"/>
      <c r="O35" s="27">
        <v>45930</v>
      </c>
      <c r="P35" s="26" t="s">
        <v>37</v>
      </c>
      <c r="Q35" s="24" t="s">
        <v>170</v>
      </c>
      <c r="R35" s="24"/>
      <c r="S35" s="25"/>
      <c r="T35" s="25"/>
      <c r="U35" s="26" t="str">
        <f t="shared" si="3"/>
        <v>High</v>
      </c>
      <c r="V35" s="26"/>
      <c r="W35" s="26">
        <f t="shared" si="4"/>
        <v>2</v>
      </c>
      <c r="X35" s="26">
        <f t="shared" si="5"/>
        <v>5</v>
      </c>
      <c r="Y35" s="26">
        <f t="shared" si="6"/>
        <v>10</v>
      </c>
      <c r="Z35" s="26" t="str">
        <f t="shared" si="7"/>
        <v>High</v>
      </c>
      <c r="AA35" s="26" t="str">
        <f t="shared" si="8"/>
        <v>No Change</v>
      </c>
      <c r="AB35" s="5">
        <f t="shared" si="9"/>
        <v>10.0000035</v>
      </c>
    </row>
    <row r="36" spans="1:28" ht="49.5" customHeight="1">
      <c r="A36" s="22">
        <v>31</v>
      </c>
      <c r="B36" s="23" t="s">
        <v>193</v>
      </c>
      <c r="C36" s="23" t="s">
        <v>73</v>
      </c>
      <c r="D36" s="24" t="s">
        <v>194</v>
      </c>
      <c r="E36" s="24" t="s">
        <v>195</v>
      </c>
      <c r="F36" s="24" t="s">
        <v>196</v>
      </c>
      <c r="G36" s="25" t="s">
        <v>33</v>
      </c>
      <c r="H36" s="25" t="s">
        <v>50</v>
      </c>
      <c r="I36" s="25">
        <f t="shared" si="0"/>
        <v>3</v>
      </c>
      <c r="J36" s="25" t="s">
        <v>51</v>
      </c>
      <c r="K36" s="25">
        <f t="shared" si="1"/>
        <v>4</v>
      </c>
      <c r="L36" s="26">
        <f t="shared" si="2"/>
        <v>12</v>
      </c>
      <c r="M36" s="24" t="s">
        <v>197</v>
      </c>
      <c r="N36" s="24"/>
      <c r="O36" s="27">
        <v>45930</v>
      </c>
      <c r="P36" s="26" t="s">
        <v>37</v>
      </c>
      <c r="Q36" s="24" t="s">
        <v>198</v>
      </c>
      <c r="R36" s="24"/>
      <c r="S36" s="25"/>
      <c r="T36" s="25"/>
      <c r="U36" s="26" t="str">
        <f t="shared" si="3"/>
        <v>High</v>
      </c>
      <c r="V36" s="26"/>
      <c r="W36" s="26">
        <f t="shared" si="4"/>
        <v>3</v>
      </c>
      <c r="X36" s="26">
        <f t="shared" si="5"/>
        <v>4</v>
      </c>
      <c r="Y36" s="26">
        <f t="shared" si="6"/>
        <v>12</v>
      </c>
      <c r="Z36" s="26" t="str">
        <f t="shared" si="7"/>
        <v>High</v>
      </c>
      <c r="AA36" s="26" t="str">
        <f t="shared" si="8"/>
        <v>No Change</v>
      </c>
      <c r="AB36" s="5">
        <f t="shared" si="9"/>
        <v>12.000003599999999</v>
      </c>
    </row>
    <row r="37" spans="1:28" ht="49.5" customHeight="1">
      <c r="A37" s="22">
        <v>32</v>
      </c>
      <c r="B37" s="23" t="s">
        <v>193</v>
      </c>
      <c r="C37" s="23" t="s">
        <v>73</v>
      </c>
      <c r="D37" s="24" t="s">
        <v>199</v>
      </c>
      <c r="E37" s="24" t="s">
        <v>200</v>
      </c>
      <c r="F37" s="24" t="s">
        <v>201</v>
      </c>
      <c r="G37" s="25" t="s">
        <v>58</v>
      </c>
      <c r="H37" s="25" t="s">
        <v>50</v>
      </c>
      <c r="I37" s="25">
        <f t="shared" si="0"/>
        <v>3</v>
      </c>
      <c r="J37" s="25" t="s">
        <v>51</v>
      </c>
      <c r="K37" s="25">
        <f t="shared" si="1"/>
        <v>4</v>
      </c>
      <c r="L37" s="26">
        <f t="shared" si="2"/>
        <v>12</v>
      </c>
      <c r="M37" s="24" t="s">
        <v>202</v>
      </c>
      <c r="N37" s="24"/>
      <c r="O37" s="27">
        <v>45992</v>
      </c>
      <c r="P37" s="26" t="s">
        <v>37</v>
      </c>
      <c r="Q37" s="24" t="s">
        <v>203</v>
      </c>
      <c r="R37" s="24"/>
      <c r="S37" s="25"/>
      <c r="T37" s="25"/>
      <c r="U37" s="26" t="str">
        <f t="shared" si="3"/>
        <v>High</v>
      </c>
      <c r="V37" s="26"/>
      <c r="W37" s="26">
        <f t="shared" si="4"/>
        <v>3</v>
      </c>
      <c r="X37" s="26">
        <f t="shared" si="5"/>
        <v>4</v>
      </c>
      <c r="Y37" s="26">
        <f t="shared" si="6"/>
        <v>12</v>
      </c>
      <c r="Z37" s="26" t="str">
        <f t="shared" si="7"/>
        <v>High</v>
      </c>
      <c r="AA37" s="26" t="str">
        <f t="shared" si="8"/>
        <v>No Change</v>
      </c>
      <c r="AB37" s="5">
        <f t="shared" si="9"/>
        <v>12.000003700000001</v>
      </c>
    </row>
    <row r="38" spans="1:28" ht="49.5" customHeight="1">
      <c r="A38" s="22">
        <v>33</v>
      </c>
      <c r="B38" s="23" t="s">
        <v>193</v>
      </c>
      <c r="C38" s="23" t="s">
        <v>171</v>
      </c>
      <c r="D38" s="24" t="s">
        <v>204</v>
      </c>
      <c r="E38" s="24" t="s">
        <v>205</v>
      </c>
      <c r="F38" s="24" t="s">
        <v>206</v>
      </c>
      <c r="G38" s="25" t="s">
        <v>58</v>
      </c>
      <c r="H38" s="25" t="s">
        <v>44</v>
      </c>
      <c r="I38" s="25">
        <f t="shared" si="0"/>
        <v>4</v>
      </c>
      <c r="J38" s="25" t="s">
        <v>51</v>
      </c>
      <c r="K38" s="25">
        <f t="shared" si="1"/>
        <v>4</v>
      </c>
      <c r="L38" s="26">
        <f t="shared" si="2"/>
        <v>16</v>
      </c>
      <c r="M38" s="24"/>
      <c r="N38" s="24"/>
      <c r="O38" s="27">
        <v>45930</v>
      </c>
      <c r="P38" s="26" t="s">
        <v>37</v>
      </c>
      <c r="Q38" s="24" t="s">
        <v>207</v>
      </c>
      <c r="R38" s="24"/>
      <c r="S38" s="25"/>
      <c r="T38" s="25"/>
      <c r="U38" s="26" t="str">
        <f t="shared" si="3"/>
        <v>Critical</v>
      </c>
      <c r="V38" s="26"/>
      <c r="W38" s="26">
        <f t="shared" si="4"/>
        <v>4</v>
      </c>
      <c r="X38" s="26">
        <f t="shared" si="5"/>
        <v>4</v>
      </c>
      <c r="Y38" s="26">
        <f t="shared" si="6"/>
        <v>16</v>
      </c>
      <c r="Z38" s="26" t="str">
        <f t="shared" si="7"/>
        <v>Critical</v>
      </c>
      <c r="AA38" s="26" t="str">
        <f t="shared" si="8"/>
        <v>No Change</v>
      </c>
      <c r="AB38" s="5">
        <f t="shared" si="9"/>
        <v>16.000003800000002</v>
      </c>
    </row>
    <row r="39" spans="1:28" ht="49.5" customHeight="1">
      <c r="A39" s="22">
        <v>34</v>
      </c>
      <c r="B39" s="23" t="s">
        <v>193</v>
      </c>
      <c r="C39" s="23" t="s">
        <v>29</v>
      </c>
      <c r="D39" s="24" t="s">
        <v>208</v>
      </c>
      <c r="E39" s="24" t="s">
        <v>209</v>
      </c>
      <c r="F39" s="24" t="s">
        <v>210</v>
      </c>
      <c r="G39" s="25" t="s">
        <v>58</v>
      </c>
      <c r="H39" s="25" t="s">
        <v>34</v>
      </c>
      <c r="I39" s="25">
        <f t="shared" si="0"/>
        <v>5</v>
      </c>
      <c r="J39" s="25" t="s">
        <v>35</v>
      </c>
      <c r="K39" s="25">
        <f t="shared" si="1"/>
        <v>5</v>
      </c>
      <c r="L39" s="26">
        <f t="shared" si="2"/>
        <v>25</v>
      </c>
      <c r="M39" s="24" t="s">
        <v>211</v>
      </c>
      <c r="N39" s="24"/>
      <c r="O39" s="27">
        <v>45930</v>
      </c>
      <c r="P39" s="26" t="s">
        <v>37</v>
      </c>
      <c r="Q39" s="24" t="s">
        <v>212</v>
      </c>
      <c r="R39" s="24"/>
      <c r="S39" s="25"/>
      <c r="T39" s="25"/>
      <c r="U39" s="26" t="str">
        <f t="shared" si="3"/>
        <v>Critical</v>
      </c>
      <c r="V39" s="26"/>
      <c r="W39" s="26">
        <f t="shared" si="4"/>
        <v>5</v>
      </c>
      <c r="X39" s="26">
        <f t="shared" si="5"/>
        <v>5</v>
      </c>
      <c r="Y39" s="26">
        <f t="shared" si="6"/>
        <v>25</v>
      </c>
      <c r="Z39" s="26" t="str">
        <f t="shared" si="7"/>
        <v>Critical</v>
      </c>
      <c r="AA39" s="26" t="str">
        <f t="shared" si="8"/>
        <v>No Change</v>
      </c>
      <c r="AB39" s="5">
        <f t="shared" si="9"/>
        <v>25.000003899999999</v>
      </c>
    </row>
    <row r="40" spans="1:28" ht="49.5" customHeight="1">
      <c r="A40" s="22">
        <v>35</v>
      </c>
      <c r="B40" s="23" t="s">
        <v>193</v>
      </c>
      <c r="C40" s="23" t="s">
        <v>39</v>
      </c>
      <c r="D40" s="24" t="s">
        <v>213</v>
      </c>
      <c r="E40" s="24" t="s">
        <v>214</v>
      </c>
      <c r="F40" s="24" t="s">
        <v>215</v>
      </c>
      <c r="G40" s="25" t="s">
        <v>33</v>
      </c>
      <c r="H40" s="25" t="s">
        <v>50</v>
      </c>
      <c r="I40" s="25">
        <f t="shared" si="0"/>
        <v>3</v>
      </c>
      <c r="J40" s="25" t="s">
        <v>35</v>
      </c>
      <c r="K40" s="25">
        <f t="shared" si="1"/>
        <v>5</v>
      </c>
      <c r="L40" s="26">
        <f t="shared" si="2"/>
        <v>15</v>
      </c>
      <c r="M40" s="24" t="s">
        <v>216</v>
      </c>
      <c r="N40" s="24"/>
      <c r="O40" s="27">
        <v>45930</v>
      </c>
      <c r="P40" s="26" t="s">
        <v>37</v>
      </c>
      <c r="Q40" s="24" t="s">
        <v>217</v>
      </c>
      <c r="R40" s="24"/>
      <c r="S40" s="25"/>
      <c r="T40" s="25"/>
      <c r="U40" s="26" t="str">
        <f t="shared" si="3"/>
        <v>High</v>
      </c>
      <c r="V40" s="26"/>
      <c r="W40" s="26">
        <f t="shared" si="4"/>
        <v>3</v>
      </c>
      <c r="X40" s="26">
        <f t="shared" si="5"/>
        <v>5</v>
      </c>
      <c r="Y40" s="26">
        <f t="shared" si="6"/>
        <v>15</v>
      </c>
      <c r="Z40" s="26" t="str">
        <f t="shared" si="7"/>
        <v>High</v>
      </c>
      <c r="AA40" s="26" t="str">
        <f t="shared" si="8"/>
        <v>No Change</v>
      </c>
      <c r="AB40" s="5">
        <f t="shared" si="9"/>
        <v>15.000004000000001</v>
      </c>
    </row>
    <row r="41" spans="1:28" ht="49.5" customHeight="1">
      <c r="A41" s="22">
        <v>36</v>
      </c>
      <c r="B41" s="23" t="s">
        <v>193</v>
      </c>
      <c r="C41" s="23" t="s">
        <v>171</v>
      </c>
      <c r="D41" s="24" t="s">
        <v>218</v>
      </c>
      <c r="E41" s="24" t="s">
        <v>219</v>
      </c>
      <c r="F41" s="24" t="s">
        <v>220</v>
      </c>
      <c r="G41" s="25" t="s">
        <v>33</v>
      </c>
      <c r="H41" s="25" t="s">
        <v>108</v>
      </c>
      <c r="I41" s="25">
        <f t="shared" si="0"/>
        <v>2</v>
      </c>
      <c r="J41" s="25" t="s">
        <v>51</v>
      </c>
      <c r="K41" s="25">
        <f t="shared" si="1"/>
        <v>4</v>
      </c>
      <c r="L41" s="26">
        <f t="shared" si="2"/>
        <v>8</v>
      </c>
      <c r="M41" s="24" t="s">
        <v>221</v>
      </c>
      <c r="N41" s="24"/>
      <c r="O41" s="27">
        <v>45930</v>
      </c>
      <c r="P41" s="26" t="s">
        <v>37</v>
      </c>
      <c r="Q41" s="24" t="s">
        <v>222</v>
      </c>
      <c r="R41" s="24"/>
      <c r="S41" s="25"/>
      <c r="T41" s="25"/>
      <c r="U41" s="26" t="str">
        <f t="shared" si="3"/>
        <v>Medium</v>
      </c>
      <c r="V41" s="26"/>
      <c r="W41" s="26">
        <f t="shared" si="4"/>
        <v>2</v>
      </c>
      <c r="X41" s="26">
        <f t="shared" si="5"/>
        <v>4</v>
      </c>
      <c r="Y41" s="26">
        <f t="shared" si="6"/>
        <v>8</v>
      </c>
      <c r="Z41" s="26" t="str">
        <f t="shared" si="7"/>
        <v>Medium</v>
      </c>
      <c r="AA41" s="26" t="str">
        <f t="shared" si="8"/>
        <v>No Change</v>
      </c>
      <c r="AB41" s="5">
        <f t="shared" si="9"/>
        <v>8.0000041</v>
      </c>
    </row>
    <row r="42" spans="1:28" ht="49.5" customHeight="1">
      <c r="A42" s="22">
        <v>37</v>
      </c>
      <c r="B42" s="23" t="s">
        <v>193</v>
      </c>
      <c r="C42" s="23" t="s">
        <v>171</v>
      </c>
      <c r="D42" s="24" t="s">
        <v>223</v>
      </c>
      <c r="E42" s="24" t="s">
        <v>224</v>
      </c>
      <c r="F42" s="24" t="s">
        <v>225</v>
      </c>
      <c r="G42" s="25" t="s">
        <v>33</v>
      </c>
      <c r="H42" s="25" t="s">
        <v>50</v>
      </c>
      <c r="I42" s="25">
        <f t="shared" si="0"/>
        <v>3</v>
      </c>
      <c r="J42" s="25" t="s">
        <v>51</v>
      </c>
      <c r="K42" s="25">
        <f t="shared" si="1"/>
        <v>4</v>
      </c>
      <c r="L42" s="26">
        <f t="shared" si="2"/>
        <v>12</v>
      </c>
      <c r="M42" s="24" t="s">
        <v>226</v>
      </c>
      <c r="N42" s="24"/>
      <c r="O42" s="27">
        <v>45930</v>
      </c>
      <c r="P42" s="26" t="s">
        <v>37</v>
      </c>
      <c r="Q42" s="24" t="s">
        <v>227</v>
      </c>
      <c r="R42" s="24"/>
      <c r="S42" s="25"/>
      <c r="T42" s="25"/>
      <c r="U42" s="26" t="str">
        <f t="shared" si="3"/>
        <v>High</v>
      </c>
      <c r="V42" s="26"/>
      <c r="W42" s="26">
        <f t="shared" si="4"/>
        <v>3</v>
      </c>
      <c r="X42" s="26">
        <f t="shared" si="5"/>
        <v>4</v>
      </c>
      <c r="Y42" s="26">
        <f t="shared" si="6"/>
        <v>12</v>
      </c>
      <c r="Z42" s="26" t="str">
        <f t="shared" si="7"/>
        <v>High</v>
      </c>
      <c r="AA42" s="26" t="str">
        <f t="shared" si="8"/>
        <v>No Change</v>
      </c>
      <c r="AB42" s="5">
        <f t="shared" si="9"/>
        <v>12.000004199999999</v>
      </c>
    </row>
    <row r="43" spans="1:28" ht="49.5" customHeight="1">
      <c r="A43" s="22">
        <v>38</v>
      </c>
      <c r="B43" s="23" t="s">
        <v>228</v>
      </c>
      <c r="C43" s="23" t="s">
        <v>54</v>
      </c>
      <c r="D43" s="24" t="s">
        <v>229</v>
      </c>
      <c r="E43" s="24" t="s">
        <v>230</v>
      </c>
      <c r="F43" s="24" t="s">
        <v>231</v>
      </c>
      <c r="G43" s="25" t="s">
        <v>99</v>
      </c>
      <c r="H43" s="25" t="s">
        <v>34</v>
      </c>
      <c r="I43" s="25">
        <f t="shared" si="0"/>
        <v>5</v>
      </c>
      <c r="J43" s="25" t="s">
        <v>51</v>
      </c>
      <c r="K43" s="25">
        <f t="shared" si="1"/>
        <v>4</v>
      </c>
      <c r="L43" s="26">
        <f t="shared" si="2"/>
        <v>20</v>
      </c>
      <c r="M43" s="24" t="s">
        <v>232</v>
      </c>
      <c r="N43" s="24"/>
      <c r="O43" s="27">
        <v>45930</v>
      </c>
      <c r="P43" s="2" t="s">
        <v>37</v>
      </c>
      <c r="Q43" s="24" t="s">
        <v>233</v>
      </c>
      <c r="R43" s="28"/>
      <c r="S43" s="25"/>
      <c r="T43" s="25"/>
      <c r="U43" s="26" t="str">
        <f t="shared" si="3"/>
        <v>Critical</v>
      </c>
      <c r="V43" s="26"/>
      <c r="W43" s="26">
        <f t="shared" si="4"/>
        <v>5</v>
      </c>
      <c r="X43" s="26">
        <f t="shared" si="5"/>
        <v>4</v>
      </c>
      <c r="Y43" s="26">
        <f t="shared" si="6"/>
        <v>20</v>
      </c>
      <c r="Z43" s="26" t="str">
        <f t="shared" si="7"/>
        <v>Critical</v>
      </c>
      <c r="AA43" s="26" t="str">
        <f t="shared" si="8"/>
        <v>No Change</v>
      </c>
      <c r="AB43" s="5">
        <f t="shared" si="9"/>
        <v>20.000004300000001</v>
      </c>
    </row>
    <row r="44" spans="1:28" ht="49.5" customHeight="1">
      <c r="A44" s="22">
        <v>39</v>
      </c>
      <c r="B44" s="23" t="s">
        <v>228</v>
      </c>
      <c r="C44" s="23" t="s">
        <v>54</v>
      </c>
      <c r="D44" s="24" t="s">
        <v>234</v>
      </c>
      <c r="E44" s="24" t="s">
        <v>235</v>
      </c>
      <c r="F44" s="24" t="s">
        <v>236</v>
      </c>
      <c r="G44" s="25" t="s">
        <v>99</v>
      </c>
      <c r="H44" s="25" t="s">
        <v>108</v>
      </c>
      <c r="I44" s="25">
        <f t="shared" si="0"/>
        <v>2</v>
      </c>
      <c r="J44" s="25" t="s">
        <v>51</v>
      </c>
      <c r="K44" s="25">
        <f t="shared" si="1"/>
        <v>4</v>
      </c>
      <c r="L44" s="26">
        <f t="shared" si="2"/>
        <v>8</v>
      </c>
      <c r="M44" s="24" t="s">
        <v>237</v>
      </c>
      <c r="N44" s="24"/>
      <c r="O44" s="27">
        <v>45930</v>
      </c>
      <c r="P44" s="26" t="s">
        <v>37</v>
      </c>
      <c r="Q44" s="24" t="s">
        <v>233</v>
      </c>
      <c r="R44" s="24"/>
      <c r="S44" s="25"/>
      <c r="T44" s="25"/>
      <c r="U44" s="26" t="str">
        <f t="shared" si="3"/>
        <v>Medium</v>
      </c>
      <c r="V44" s="26"/>
      <c r="W44" s="26">
        <f t="shared" si="4"/>
        <v>2</v>
      </c>
      <c r="X44" s="26">
        <f t="shared" si="5"/>
        <v>4</v>
      </c>
      <c r="Y44" s="26">
        <f t="shared" si="6"/>
        <v>8</v>
      </c>
      <c r="Z44" s="26" t="str">
        <f t="shared" si="7"/>
        <v>Medium</v>
      </c>
      <c r="AA44" s="26" t="str">
        <f t="shared" si="8"/>
        <v>No Change</v>
      </c>
      <c r="AB44" s="5">
        <f t="shared" si="9"/>
        <v>8.0000043999999999</v>
      </c>
    </row>
    <row r="45" spans="1:28" ht="49.5" customHeight="1">
      <c r="A45" s="22">
        <v>40</v>
      </c>
      <c r="B45" s="23" t="s">
        <v>228</v>
      </c>
      <c r="C45" s="23" t="s">
        <v>184</v>
      </c>
      <c r="D45" s="24" t="s">
        <v>238</v>
      </c>
      <c r="E45" s="24" t="s">
        <v>239</v>
      </c>
      <c r="F45" s="24" t="s">
        <v>240</v>
      </c>
      <c r="G45" s="25" t="s">
        <v>33</v>
      </c>
      <c r="H45" s="25" t="s">
        <v>108</v>
      </c>
      <c r="I45" s="25">
        <f t="shared" si="0"/>
        <v>2</v>
      </c>
      <c r="J45" s="25" t="s">
        <v>35</v>
      </c>
      <c r="K45" s="25">
        <f t="shared" si="1"/>
        <v>5</v>
      </c>
      <c r="L45" s="26">
        <f t="shared" si="2"/>
        <v>10</v>
      </c>
      <c r="M45" s="24" t="s">
        <v>241</v>
      </c>
      <c r="N45" s="24"/>
      <c r="O45" s="27">
        <v>45930</v>
      </c>
      <c r="P45" s="26" t="s">
        <v>37</v>
      </c>
      <c r="Q45" s="24" t="s">
        <v>233</v>
      </c>
      <c r="R45" s="24"/>
      <c r="S45" s="25"/>
      <c r="T45" s="25"/>
      <c r="U45" s="26" t="str">
        <f t="shared" si="3"/>
        <v>High</v>
      </c>
      <c r="V45" s="26"/>
      <c r="W45" s="26">
        <f t="shared" si="4"/>
        <v>2</v>
      </c>
      <c r="X45" s="26">
        <f t="shared" si="5"/>
        <v>5</v>
      </c>
      <c r="Y45" s="26">
        <f t="shared" si="6"/>
        <v>10</v>
      </c>
      <c r="Z45" s="26" t="str">
        <f t="shared" si="7"/>
        <v>High</v>
      </c>
      <c r="AA45" s="26" t="str">
        <f t="shared" si="8"/>
        <v>No Change</v>
      </c>
      <c r="AB45" s="5">
        <f t="shared" si="9"/>
        <v>10.000004499999999</v>
      </c>
    </row>
    <row r="46" spans="1:28" ht="49.5" customHeight="1">
      <c r="A46" s="22">
        <v>41</v>
      </c>
      <c r="B46" s="23" t="s">
        <v>228</v>
      </c>
      <c r="C46" s="23" t="s">
        <v>39</v>
      </c>
      <c r="D46" s="24" t="s">
        <v>242</v>
      </c>
      <c r="E46" s="24" t="s">
        <v>243</v>
      </c>
      <c r="F46" s="24" t="s">
        <v>244</v>
      </c>
      <c r="G46" s="25" t="s">
        <v>245</v>
      </c>
      <c r="H46" s="25" t="s">
        <v>50</v>
      </c>
      <c r="I46" s="25">
        <f t="shared" si="0"/>
        <v>3</v>
      </c>
      <c r="J46" s="25" t="s">
        <v>119</v>
      </c>
      <c r="K46" s="25">
        <f t="shared" si="1"/>
        <v>3</v>
      </c>
      <c r="L46" s="26">
        <f t="shared" si="2"/>
        <v>9</v>
      </c>
      <c r="M46" s="24" t="s">
        <v>246</v>
      </c>
      <c r="N46" s="24"/>
      <c r="O46" s="27">
        <v>45930</v>
      </c>
      <c r="P46" s="26" t="s">
        <v>37</v>
      </c>
      <c r="Q46" s="24" t="s">
        <v>233</v>
      </c>
      <c r="R46" s="24"/>
      <c r="S46" s="25"/>
      <c r="T46" s="25"/>
      <c r="U46" s="26" t="str">
        <f t="shared" si="3"/>
        <v>Medium</v>
      </c>
      <c r="V46" s="26"/>
      <c r="W46" s="26">
        <f t="shared" si="4"/>
        <v>3</v>
      </c>
      <c r="X46" s="26">
        <f t="shared" si="5"/>
        <v>3</v>
      </c>
      <c r="Y46" s="26">
        <f t="shared" si="6"/>
        <v>9</v>
      </c>
      <c r="Z46" s="26" t="str">
        <f t="shared" si="7"/>
        <v>Medium</v>
      </c>
      <c r="AA46" s="26" t="str">
        <f t="shared" si="8"/>
        <v>No Change</v>
      </c>
      <c r="AB46" s="5">
        <f t="shared" si="9"/>
        <v>9.0000046000000005</v>
      </c>
    </row>
    <row r="47" spans="1:28" ht="49.5" customHeight="1">
      <c r="A47" s="22">
        <v>42</v>
      </c>
      <c r="B47" s="23" t="s">
        <v>228</v>
      </c>
      <c r="C47" s="23" t="s">
        <v>29</v>
      </c>
      <c r="D47" s="24" t="s">
        <v>247</v>
      </c>
      <c r="E47" s="24" t="s">
        <v>248</v>
      </c>
      <c r="F47" s="24" t="s">
        <v>249</v>
      </c>
      <c r="G47" s="25" t="s">
        <v>33</v>
      </c>
      <c r="H47" s="25" t="s">
        <v>108</v>
      </c>
      <c r="I47" s="25">
        <f t="shared" si="0"/>
        <v>2</v>
      </c>
      <c r="J47" s="25" t="s">
        <v>119</v>
      </c>
      <c r="K47" s="25">
        <f t="shared" si="1"/>
        <v>3</v>
      </c>
      <c r="L47" s="26">
        <f t="shared" si="2"/>
        <v>6</v>
      </c>
      <c r="M47" s="24" t="s">
        <v>250</v>
      </c>
      <c r="N47" s="24"/>
      <c r="O47" s="27">
        <v>45930</v>
      </c>
      <c r="P47" s="26" t="s">
        <v>37</v>
      </c>
      <c r="Q47" s="24" t="s">
        <v>251</v>
      </c>
      <c r="R47" s="24"/>
      <c r="S47" s="25"/>
      <c r="T47" s="25"/>
      <c r="U47" s="26" t="str">
        <f t="shared" si="3"/>
        <v>Medium</v>
      </c>
      <c r="V47" s="26"/>
      <c r="W47" s="26">
        <f t="shared" si="4"/>
        <v>2</v>
      </c>
      <c r="X47" s="26">
        <f t="shared" si="5"/>
        <v>3</v>
      </c>
      <c r="Y47" s="26">
        <f t="shared" si="6"/>
        <v>6</v>
      </c>
      <c r="Z47" s="26" t="str">
        <f t="shared" si="7"/>
        <v>Medium</v>
      </c>
      <c r="AA47" s="26" t="str">
        <f t="shared" si="8"/>
        <v>No Change</v>
      </c>
      <c r="AB47" s="5">
        <f t="shared" si="9"/>
        <v>6.0000046999999999</v>
      </c>
    </row>
    <row r="48" spans="1:28" ht="49.5" customHeight="1">
      <c r="A48" s="22">
        <v>43</v>
      </c>
      <c r="B48" s="23" t="s">
        <v>228</v>
      </c>
      <c r="C48" s="23" t="s">
        <v>54</v>
      </c>
      <c r="D48" s="24" t="s">
        <v>252</v>
      </c>
      <c r="E48" s="24" t="s">
        <v>253</v>
      </c>
      <c r="F48" s="24" t="s">
        <v>254</v>
      </c>
      <c r="G48" s="25" t="s">
        <v>70</v>
      </c>
      <c r="H48" s="25" t="s">
        <v>50</v>
      </c>
      <c r="I48" s="25">
        <f t="shared" si="0"/>
        <v>3</v>
      </c>
      <c r="J48" s="25" t="s">
        <v>51</v>
      </c>
      <c r="K48" s="25">
        <f t="shared" si="1"/>
        <v>4</v>
      </c>
      <c r="L48" s="26">
        <f t="shared" si="2"/>
        <v>12</v>
      </c>
      <c r="M48" s="24" t="s">
        <v>255</v>
      </c>
      <c r="N48" s="24"/>
      <c r="O48" s="27">
        <v>45930</v>
      </c>
      <c r="P48" s="26" t="s">
        <v>37</v>
      </c>
      <c r="Q48" s="24" t="s">
        <v>251</v>
      </c>
      <c r="R48" s="24"/>
      <c r="S48" s="25"/>
      <c r="T48" s="25"/>
      <c r="U48" s="26" t="str">
        <f t="shared" si="3"/>
        <v>High</v>
      </c>
      <c r="V48" s="26"/>
      <c r="W48" s="26">
        <f t="shared" si="4"/>
        <v>3</v>
      </c>
      <c r="X48" s="26">
        <f t="shared" si="5"/>
        <v>4</v>
      </c>
      <c r="Y48" s="26">
        <f t="shared" si="6"/>
        <v>12</v>
      </c>
      <c r="Z48" s="26" t="str">
        <f t="shared" si="7"/>
        <v>High</v>
      </c>
      <c r="AA48" s="26" t="str">
        <f t="shared" si="8"/>
        <v>No Change</v>
      </c>
      <c r="AB48" s="5">
        <f t="shared" si="9"/>
        <v>12.000004799999999</v>
      </c>
    </row>
    <row r="49" spans="1:28" ht="49.5" customHeight="1">
      <c r="A49" s="22">
        <v>44</v>
      </c>
      <c r="B49" s="23" t="s">
        <v>228</v>
      </c>
      <c r="C49" s="23" t="s">
        <v>54</v>
      </c>
      <c r="D49" s="24" t="s">
        <v>256</v>
      </c>
      <c r="E49" s="24" t="s">
        <v>257</v>
      </c>
      <c r="F49" s="24" t="s">
        <v>258</v>
      </c>
      <c r="G49" s="25" t="s">
        <v>33</v>
      </c>
      <c r="H49" s="25" t="s">
        <v>108</v>
      </c>
      <c r="I49" s="25">
        <f t="shared" si="0"/>
        <v>2</v>
      </c>
      <c r="J49" s="25" t="s">
        <v>119</v>
      </c>
      <c r="K49" s="25">
        <f t="shared" si="1"/>
        <v>3</v>
      </c>
      <c r="L49" s="26">
        <f t="shared" si="2"/>
        <v>6</v>
      </c>
      <c r="M49" s="24" t="s">
        <v>259</v>
      </c>
      <c r="N49" s="24"/>
      <c r="O49" s="27">
        <v>45930</v>
      </c>
      <c r="P49" s="26" t="s">
        <v>37</v>
      </c>
      <c r="Q49" s="24" t="s">
        <v>233</v>
      </c>
      <c r="R49" s="24"/>
      <c r="S49" s="25"/>
      <c r="T49" s="25"/>
      <c r="U49" s="26" t="str">
        <f t="shared" si="3"/>
        <v>Medium</v>
      </c>
      <c r="V49" s="26"/>
      <c r="W49" s="26">
        <f t="shared" si="4"/>
        <v>2</v>
      </c>
      <c r="X49" s="26">
        <f t="shared" si="5"/>
        <v>3</v>
      </c>
      <c r="Y49" s="26">
        <f t="shared" si="6"/>
        <v>6</v>
      </c>
      <c r="Z49" s="26" t="str">
        <f t="shared" si="7"/>
        <v>Medium</v>
      </c>
      <c r="AA49" s="26" t="str">
        <f t="shared" si="8"/>
        <v>No Change</v>
      </c>
      <c r="AB49" s="5">
        <f t="shared" si="9"/>
        <v>6.0000049000000004</v>
      </c>
    </row>
    <row r="50" spans="1:28" ht="49.5" customHeight="1">
      <c r="A50" s="22">
        <v>45</v>
      </c>
      <c r="B50" s="23" t="s">
        <v>228</v>
      </c>
      <c r="C50" s="23" t="s">
        <v>184</v>
      </c>
      <c r="D50" s="24" t="s">
        <v>260</v>
      </c>
      <c r="E50" s="24" t="s">
        <v>261</v>
      </c>
      <c r="F50" s="24" t="s">
        <v>262</v>
      </c>
      <c r="G50" s="25" t="s">
        <v>43</v>
      </c>
      <c r="H50" s="25" t="s">
        <v>108</v>
      </c>
      <c r="I50" s="25">
        <f t="shared" si="0"/>
        <v>2</v>
      </c>
      <c r="J50" s="25" t="s">
        <v>51</v>
      </c>
      <c r="K50" s="25">
        <f t="shared" si="1"/>
        <v>4</v>
      </c>
      <c r="L50" s="26">
        <f t="shared" si="2"/>
        <v>8</v>
      </c>
      <c r="M50" s="24" t="s">
        <v>263</v>
      </c>
      <c r="N50" s="24"/>
      <c r="O50" s="27">
        <v>45930</v>
      </c>
      <c r="P50" s="26" t="s">
        <v>37</v>
      </c>
      <c r="Q50" s="24" t="s">
        <v>264</v>
      </c>
      <c r="R50" s="24"/>
      <c r="S50" s="25"/>
      <c r="T50" s="25"/>
      <c r="U50" s="26" t="str">
        <f t="shared" si="3"/>
        <v>Medium</v>
      </c>
      <c r="V50" s="26"/>
      <c r="W50" s="26">
        <f t="shared" si="4"/>
        <v>2</v>
      </c>
      <c r="X50" s="26">
        <f t="shared" si="5"/>
        <v>4</v>
      </c>
      <c r="Y50" s="26">
        <f t="shared" si="6"/>
        <v>8</v>
      </c>
      <c r="Z50" s="26" t="str">
        <f t="shared" si="7"/>
        <v>Medium</v>
      </c>
      <c r="AA50" s="26" t="str">
        <f t="shared" si="8"/>
        <v>No Change</v>
      </c>
      <c r="AB50" s="5">
        <f t="shared" si="9"/>
        <v>8.0000049999999998</v>
      </c>
    </row>
    <row r="51" spans="1:28" ht="49.5" customHeight="1">
      <c r="A51" s="22">
        <v>46</v>
      </c>
      <c r="B51" s="23" t="s">
        <v>228</v>
      </c>
      <c r="C51" s="23" t="s">
        <v>73</v>
      </c>
      <c r="D51" s="24" t="s">
        <v>265</v>
      </c>
      <c r="E51" s="24" t="s">
        <v>266</v>
      </c>
      <c r="F51" s="24" t="s">
        <v>267</v>
      </c>
      <c r="G51" s="25" t="s">
        <v>70</v>
      </c>
      <c r="H51" s="25" t="s">
        <v>108</v>
      </c>
      <c r="I51" s="25">
        <f t="shared" si="0"/>
        <v>2</v>
      </c>
      <c r="J51" s="25" t="s">
        <v>51</v>
      </c>
      <c r="K51" s="25">
        <f t="shared" si="1"/>
        <v>4</v>
      </c>
      <c r="L51" s="26">
        <f t="shared" si="2"/>
        <v>8</v>
      </c>
      <c r="M51" s="24" t="s">
        <v>268</v>
      </c>
      <c r="N51" s="24"/>
      <c r="O51" s="27">
        <v>45930</v>
      </c>
      <c r="P51" s="26" t="s">
        <v>37</v>
      </c>
      <c r="Q51" s="24" t="s">
        <v>269</v>
      </c>
      <c r="R51" s="28"/>
      <c r="S51" s="25"/>
      <c r="T51" s="25"/>
      <c r="U51" s="26" t="str">
        <f t="shared" si="3"/>
        <v>Medium</v>
      </c>
      <c r="V51" s="26"/>
      <c r="W51" s="26">
        <f t="shared" si="4"/>
        <v>2</v>
      </c>
      <c r="X51" s="26">
        <f t="shared" si="5"/>
        <v>4</v>
      </c>
      <c r="Y51" s="26">
        <f t="shared" si="6"/>
        <v>8</v>
      </c>
      <c r="Z51" s="26" t="str">
        <f t="shared" si="7"/>
        <v>Medium</v>
      </c>
      <c r="AA51" s="26" t="str">
        <f t="shared" si="8"/>
        <v>No Change</v>
      </c>
      <c r="AB51" s="5">
        <f t="shared" si="9"/>
        <v>8.0000050999999992</v>
      </c>
    </row>
    <row r="52" spans="1:28" ht="49.5" customHeight="1">
      <c r="A52" s="22">
        <v>47</v>
      </c>
      <c r="B52" s="23" t="s">
        <v>228</v>
      </c>
      <c r="C52" s="23" t="s">
        <v>171</v>
      </c>
      <c r="D52" s="24" t="s">
        <v>270</v>
      </c>
      <c r="E52" s="24" t="s">
        <v>271</v>
      </c>
      <c r="F52" s="24" t="s">
        <v>272</v>
      </c>
      <c r="G52" s="25" t="s">
        <v>99</v>
      </c>
      <c r="H52" s="25" t="s">
        <v>108</v>
      </c>
      <c r="I52" s="25">
        <f t="shared" si="0"/>
        <v>2</v>
      </c>
      <c r="J52" s="25" t="s">
        <v>109</v>
      </c>
      <c r="K52" s="25">
        <f t="shared" si="1"/>
        <v>2</v>
      </c>
      <c r="L52" s="26">
        <f t="shared" si="2"/>
        <v>4</v>
      </c>
      <c r="M52" s="24" t="s">
        <v>273</v>
      </c>
      <c r="N52" s="24"/>
      <c r="O52" s="27">
        <v>45930</v>
      </c>
      <c r="P52" s="26" t="s">
        <v>37</v>
      </c>
      <c r="Q52" s="24" t="s">
        <v>274</v>
      </c>
      <c r="R52" s="24"/>
      <c r="S52" s="25"/>
      <c r="T52" s="25"/>
      <c r="U52" s="26" t="str">
        <f t="shared" si="3"/>
        <v>Low</v>
      </c>
      <c r="V52" s="26"/>
      <c r="W52" s="26">
        <f t="shared" si="4"/>
        <v>2</v>
      </c>
      <c r="X52" s="26">
        <f t="shared" si="5"/>
        <v>2</v>
      </c>
      <c r="Y52" s="26">
        <f t="shared" si="6"/>
        <v>4</v>
      </c>
      <c r="Z52" s="26" t="str">
        <f t="shared" si="7"/>
        <v>Low</v>
      </c>
      <c r="AA52" s="26" t="str">
        <f t="shared" si="8"/>
        <v>No Change</v>
      </c>
      <c r="AB52" s="5">
        <f t="shared" si="9"/>
        <v>4.0000052000000004</v>
      </c>
    </row>
    <row r="53" spans="1:28" ht="71.25" customHeight="1">
      <c r="A53" s="22">
        <v>48</v>
      </c>
      <c r="B53" s="23" t="s">
        <v>275</v>
      </c>
      <c r="C53" s="23" t="s">
        <v>54</v>
      </c>
      <c r="D53" s="24" t="s">
        <v>276</v>
      </c>
      <c r="E53" s="24" t="s">
        <v>277</v>
      </c>
      <c r="F53" s="24" t="s">
        <v>278</v>
      </c>
      <c r="G53" s="25" t="s">
        <v>58</v>
      </c>
      <c r="H53" s="25" t="s">
        <v>50</v>
      </c>
      <c r="I53" s="25">
        <f t="shared" si="0"/>
        <v>3</v>
      </c>
      <c r="J53" s="25" t="s">
        <v>119</v>
      </c>
      <c r="K53" s="25">
        <f t="shared" si="1"/>
        <v>3</v>
      </c>
      <c r="L53" s="26">
        <f t="shared" si="2"/>
        <v>9</v>
      </c>
      <c r="M53" s="24" t="s">
        <v>279</v>
      </c>
      <c r="N53" s="24"/>
      <c r="O53" s="27">
        <v>45930</v>
      </c>
      <c r="P53" s="26" t="s">
        <v>37</v>
      </c>
      <c r="Q53" s="24" t="s">
        <v>280</v>
      </c>
      <c r="R53" s="24"/>
      <c r="S53" s="25"/>
      <c r="T53" s="25"/>
      <c r="U53" s="26" t="str">
        <f t="shared" si="3"/>
        <v>Medium</v>
      </c>
      <c r="V53" s="26"/>
      <c r="W53" s="26">
        <f t="shared" si="4"/>
        <v>3</v>
      </c>
      <c r="X53" s="26">
        <f t="shared" si="5"/>
        <v>3</v>
      </c>
      <c r="Y53" s="26">
        <f t="shared" si="6"/>
        <v>9</v>
      </c>
      <c r="Z53" s="26" t="str">
        <f t="shared" si="7"/>
        <v>Medium</v>
      </c>
      <c r="AA53" s="26" t="str">
        <f t="shared" si="8"/>
        <v>No Change</v>
      </c>
      <c r="AB53" s="5">
        <f t="shared" si="9"/>
        <v>9.0000052999999998</v>
      </c>
    </row>
    <row r="54" spans="1:28" ht="59.25" customHeight="1">
      <c r="A54" s="22">
        <v>49</v>
      </c>
      <c r="B54" s="23" t="s">
        <v>275</v>
      </c>
      <c r="C54" s="23" t="s">
        <v>171</v>
      </c>
      <c r="D54" s="24" t="s">
        <v>281</v>
      </c>
      <c r="E54" s="24" t="s">
        <v>282</v>
      </c>
      <c r="F54" s="24" t="s">
        <v>283</v>
      </c>
      <c r="G54" s="25" t="s">
        <v>58</v>
      </c>
      <c r="H54" s="25" t="s">
        <v>50</v>
      </c>
      <c r="I54" s="25">
        <f t="shared" si="0"/>
        <v>3</v>
      </c>
      <c r="J54" s="25" t="s">
        <v>35</v>
      </c>
      <c r="K54" s="25">
        <f t="shared" si="1"/>
        <v>5</v>
      </c>
      <c r="L54" s="26">
        <f t="shared" si="2"/>
        <v>15</v>
      </c>
      <c r="M54" s="24" t="s">
        <v>284</v>
      </c>
      <c r="N54" s="24"/>
      <c r="O54" s="27">
        <v>45930</v>
      </c>
      <c r="P54" s="26" t="s">
        <v>37</v>
      </c>
      <c r="Q54" s="24" t="s">
        <v>285</v>
      </c>
      <c r="R54" s="24"/>
      <c r="S54" s="25"/>
      <c r="T54" s="25"/>
      <c r="U54" s="26" t="str">
        <f t="shared" si="3"/>
        <v>High</v>
      </c>
      <c r="V54" s="26"/>
      <c r="W54" s="26">
        <f t="shared" si="4"/>
        <v>3</v>
      </c>
      <c r="X54" s="26">
        <f t="shared" si="5"/>
        <v>5</v>
      </c>
      <c r="Y54" s="26">
        <f t="shared" si="6"/>
        <v>15</v>
      </c>
      <c r="Z54" s="26" t="str">
        <f t="shared" si="7"/>
        <v>High</v>
      </c>
      <c r="AA54" s="26" t="str">
        <f t="shared" si="8"/>
        <v>No Change</v>
      </c>
      <c r="AB54" s="5">
        <f t="shared" si="9"/>
        <v>15.000005399999999</v>
      </c>
    </row>
    <row r="55" spans="1:28" ht="114.75" customHeight="1">
      <c r="A55" s="22">
        <v>50</v>
      </c>
      <c r="B55" s="23" t="s">
        <v>275</v>
      </c>
      <c r="C55" s="23" t="s">
        <v>39</v>
      </c>
      <c r="D55" s="24" t="s">
        <v>286</v>
      </c>
      <c r="E55" s="24" t="s">
        <v>287</v>
      </c>
      <c r="F55" s="24" t="s">
        <v>288</v>
      </c>
      <c r="G55" s="25" t="s">
        <v>245</v>
      </c>
      <c r="H55" s="25" t="s">
        <v>50</v>
      </c>
      <c r="I55" s="25">
        <f t="shared" si="0"/>
        <v>3</v>
      </c>
      <c r="J55" s="25" t="s">
        <v>51</v>
      </c>
      <c r="K55" s="25">
        <f t="shared" si="1"/>
        <v>4</v>
      </c>
      <c r="L55" s="26">
        <f t="shared" si="2"/>
        <v>12</v>
      </c>
      <c r="M55" s="24" t="s">
        <v>289</v>
      </c>
      <c r="N55" s="24"/>
      <c r="O55" s="27">
        <v>46022</v>
      </c>
      <c r="P55" s="26" t="s">
        <v>37</v>
      </c>
      <c r="Q55" s="24" t="s">
        <v>290</v>
      </c>
      <c r="R55" s="24"/>
      <c r="S55" s="25"/>
      <c r="T55" s="25"/>
      <c r="U55" s="26" t="str">
        <f t="shared" si="3"/>
        <v>High</v>
      </c>
      <c r="V55" s="26"/>
      <c r="W55" s="26">
        <f t="shared" si="4"/>
        <v>3</v>
      </c>
      <c r="X55" s="26">
        <f t="shared" si="5"/>
        <v>4</v>
      </c>
      <c r="Y55" s="26">
        <f t="shared" si="6"/>
        <v>12</v>
      </c>
      <c r="Z55" s="26" t="str">
        <f t="shared" si="7"/>
        <v>High</v>
      </c>
      <c r="AA55" s="26" t="str">
        <f t="shared" si="8"/>
        <v>No Change</v>
      </c>
      <c r="AB55" s="5">
        <f t="shared" si="9"/>
        <v>12.0000055</v>
      </c>
    </row>
    <row r="56" spans="1:28" ht="49.5" customHeight="1">
      <c r="A56" s="22">
        <v>51</v>
      </c>
      <c r="B56" s="23" t="s">
        <v>275</v>
      </c>
      <c r="C56" s="23" t="s">
        <v>39</v>
      </c>
      <c r="D56" s="24" t="s">
        <v>291</v>
      </c>
      <c r="E56" s="24" t="s">
        <v>292</v>
      </c>
      <c r="F56" s="24" t="s">
        <v>293</v>
      </c>
      <c r="G56" s="25" t="s">
        <v>43</v>
      </c>
      <c r="H56" s="25" t="s">
        <v>108</v>
      </c>
      <c r="I56" s="25">
        <f t="shared" si="0"/>
        <v>2</v>
      </c>
      <c r="J56" s="25" t="s">
        <v>51</v>
      </c>
      <c r="K56" s="25">
        <f t="shared" si="1"/>
        <v>4</v>
      </c>
      <c r="L56" s="26">
        <f t="shared" si="2"/>
        <v>8</v>
      </c>
      <c r="M56" s="24" t="s">
        <v>294</v>
      </c>
      <c r="N56" s="24"/>
      <c r="O56" s="27">
        <v>46022</v>
      </c>
      <c r="P56" s="26" t="s">
        <v>37</v>
      </c>
      <c r="Q56" s="24" t="s">
        <v>290</v>
      </c>
      <c r="R56" s="28"/>
      <c r="S56" s="25"/>
      <c r="T56" s="25"/>
      <c r="U56" s="26" t="str">
        <f t="shared" si="3"/>
        <v>Medium</v>
      </c>
      <c r="V56" s="26"/>
      <c r="W56" s="26">
        <f t="shared" si="4"/>
        <v>2</v>
      </c>
      <c r="X56" s="26">
        <f t="shared" si="5"/>
        <v>4</v>
      </c>
      <c r="Y56" s="26">
        <f t="shared" si="6"/>
        <v>8</v>
      </c>
      <c r="Z56" s="26" t="str">
        <f t="shared" si="7"/>
        <v>Medium</v>
      </c>
      <c r="AA56" s="26" t="str">
        <f t="shared" si="8"/>
        <v>No Change</v>
      </c>
      <c r="AB56" s="5">
        <f t="shared" si="9"/>
        <v>8.0000055999999997</v>
      </c>
    </row>
    <row r="57" spans="1:28" ht="98.25" customHeight="1">
      <c r="A57" s="22">
        <v>52</v>
      </c>
      <c r="B57" s="23" t="s">
        <v>275</v>
      </c>
      <c r="C57" s="23" t="s">
        <v>29</v>
      </c>
      <c r="D57" s="24" t="s">
        <v>295</v>
      </c>
      <c r="E57" s="24" t="s">
        <v>296</v>
      </c>
      <c r="F57" s="24" t="s">
        <v>297</v>
      </c>
      <c r="G57" s="25" t="s">
        <v>99</v>
      </c>
      <c r="H57" s="25" t="s">
        <v>108</v>
      </c>
      <c r="I57" s="25">
        <f t="shared" si="0"/>
        <v>2</v>
      </c>
      <c r="J57" s="25" t="s">
        <v>51</v>
      </c>
      <c r="K57" s="25">
        <f t="shared" si="1"/>
        <v>4</v>
      </c>
      <c r="L57" s="26">
        <f t="shared" si="2"/>
        <v>8</v>
      </c>
      <c r="M57" s="24" t="s">
        <v>298</v>
      </c>
      <c r="N57" s="24"/>
      <c r="O57" s="27">
        <v>46022</v>
      </c>
      <c r="P57" s="26" t="s">
        <v>37</v>
      </c>
      <c r="Q57" s="24" t="s">
        <v>290</v>
      </c>
      <c r="R57" s="24"/>
      <c r="S57" s="25"/>
      <c r="T57" s="25"/>
      <c r="U57" s="26" t="str">
        <f t="shared" si="3"/>
        <v>Medium</v>
      </c>
      <c r="V57" s="26"/>
      <c r="W57" s="26">
        <f t="shared" si="4"/>
        <v>2</v>
      </c>
      <c r="X57" s="26">
        <f t="shared" si="5"/>
        <v>4</v>
      </c>
      <c r="Y57" s="26">
        <f t="shared" si="6"/>
        <v>8</v>
      </c>
      <c r="Z57" s="26" t="str">
        <f t="shared" si="7"/>
        <v>Medium</v>
      </c>
      <c r="AA57" s="26" t="str">
        <f t="shared" si="8"/>
        <v>No Change</v>
      </c>
      <c r="AB57" s="5">
        <f t="shared" si="9"/>
        <v>8.0000057000000009</v>
      </c>
    </row>
    <row r="58" spans="1:28" ht="67.5" customHeight="1">
      <c r="A58" s="22">
        <v>53</v>
      </c>
      <c r="B58" s="23" t="s">
        <v>275</v>
      </c>
      <c r="C58" s="23" t="s">
        <v>29</v>
      </c>
      <c r="D58" s="24" t="s">
        <v>299</v>
      </c>
      <c r="E58" s="24" t="s">
        <v>300</v>
      </c>
      <c r="F58" s="24" t="s">
        <v>301</v>
      </c>
      <c r="G58" s="25" t="s">
        <v>99</v>
      </c>
      <c r="H58" s="25" t="s">
        <v>50</v>
      </c>
      <c r="I58" s="25">
        <f t="shared" si="0"/>
        <v>3</v>
      </c>
      <c r="J58" s="25" t="s">
        <v>51</v>
      </c>
      <c r="K58" s="25">
        <f t="shared" si="1"/>
        <v>4</v>
      </c>
      <c r="L58" s="26">
        <f t="shared" si="2"/>
        <v>12</v>
      </c>
      <c r="M58" s="24" t="s">
        <v>302</v>
      </c>
      <c r="N58" s="24"/>
      <c r="O58" s="27">
        <v>46022</v>
      </c>
      <c r="P58" s="26" t="s">
        <v>37</v>
      </c>
      <c r="Q58" s="24" t="s">
        <v>303</v>
      </c>
      <c r="R58" s="28"/>
      <c r="S58" s="25"/>
      <c r="T58" s="25"/>
      <c r="U58" s="26" t="str">
        <f t="shared" si="3"/>
        <v>High</v>
      </c>
      <c r="V58" s="26"/>
      <c r="W58" s="26">
        <f t="shared" si="4"/>
        <v>3</v>
      </c>
      <c r="X58" s="26">
        <f t="shared" si="5"/>
        <v>4</v>
      </c>
      <c r="Y58" s="26">
        <f t="shared" si="6"/>
        <v>12</v>
      </c>
      <c r="Z58" s="26" t="str">
        <f t="shared" si="7"/>
        <v>High</v>
      </c>
      <c r="AA58" s="26" t="str">
        <f t="shared" si="8"/>
        <v>No Change</v>
      </c>
      <c r="AB58" s="5">
        <f t="shared" si="9"/>
        <v>12.0000058</v>
      </c>
    </row>
    <row r="59" spans="1:28" ht="85.5" customHeight="1">
      <c r="A59" s="22">
        <v>54</v>
      </c>
      <c r="B59" s="23" t="s">
        <v>275</v>
      </c>
      <c r="C59" s="23" t="s">
        <v>54</v>
      </c>
      <c r="D59" s="24" t="s">
        <v>304</v>
      </c>
      <c r="E59" s="24" t="s">
        <v>305</v>
      </c>
      <c r="F59" s="24" t="s">
        <v>306</v>
      </c>
      <c r="G59" s="25" t="s">
        <v>33</v>
      </c>
      <c r="H59" s="25" t="s">
        <v>50</v>
      </c>
      <c r="I59" s="25">
        <f t="shared" si="0"/>
        <v>3</v>
      </c>
      <c r="J59" s="25" t="s">
        <v>51</v>
      </c>
      <c r="K59" s="25">
        <f t="shared" si="1"/>
        <v>4</v>
      </c>
      <c r="L59" s="26">
        <f t="shared" si="2"/>
        <v>12</v>
      </c>
      <c r="M59" s="24" t="s">
        <v>307</v>
      </c>
      <c r="N59" s="24"/>
      <c r="O59" s="27">
        <v>46022</v>
      </c>
      <c r="P59" s="26" t="s">
        <v>37</v>
      </c>
      <c r="Q59" s="24" t="s">
        <v>308</v>
      </c>
      <c r="R59" s="28"/>
      <c r="S59" s="25"/>
      <c r="T59" s="25"/>
      <c r="U59" s="26" t="str">
        <f t="shared" si="3"/>
        <v>High</v>
      </c>
      <c r="V59" s="26"/>
      <c r="W59" s="26">
        <f t="shared" si="4"/>
        <v>3</v>
      </c>
      <c r="X59" s="26">
        <f t="shared" si="5"/>
        <v>4</v>
      </c>
      <c r="Y59" s="26">
        <f t="shared" si="6"/>
        <v>12</v>
      </c>
      <c r="Z59" s="26" t="str">
        <f t="shared" si="7"/>
        <v>High</v>
      </c>
      <c r="AA59" s="26" t="str">
        <f t="shared" si="8"/>
        <v>No Change</v>
      </c>
      <c r="AB59" s="5">
        <f t="shared" si="9"/>
        <v>12.0000059</v>
      </c>
    </row>
    <row r="60" spans="1:28" ht="49.5" customHeight="1">
      <c r="A60" s="22">
        <v>55</v>
      </c>
      <c r="B60" s="23" t="s">
        <v>275</v>
      </c>
      <c r="C60" s="23" t="s">
        <v>54</v>
      </c>
      <c r="D60" s="24" t="s">
        <v>309</v>
      </c>
      <c r="E60" s="24" t="s">
        <v>310</v>
      </c>
      <c r="F60" s="24" t="s">
        <v>311</v>
      </c>
      <c r="G60" s="25" t="s">
        <v>33</v>
      </c>
      <c r="H60" s="25" t="s">
        <v>108</v>
      </c>
      <c r="I60" s="25">
        <f t="shared" si="0"/>
        <v>2</v>
      </c>
      <c r="J60" s="25" t="s">
        <v>119</v>
      </c>
      <c r="K60" s="25">
        <f t="shared" si="1"/>
        <v>3</v>
      </c>
      <c r="L60" s="26">
        <f t="shared" si="2"/>
        <v>6</v>
      </c>
      <c r="M60" s="24" t="s">
        <v>312</v>
      </c>
      <c r="N60" s="24"/>
      <c r="O60" s="27">
        <v>46022</v>
      </c>
      <c r="P60" s="26" t="s">
        <v>37</v>
      </c>
      <c r="Q60" s="24" t="s">
        <v>290</v>
      </c>
      <c r="R60" s="24"/>
      <c r="S60" s="25"/>
      <c r="T60" s="25"/>
      <c r="U60" s="26" t="str">
        <f t="shared" si="3"/>
        <v>Medium</v>
      </c>
      <c r="V60" s="26"/>
      <c r="W60" s="26">
        <f t="shared" si="4"/>
        <v>2</v>
      </c>
      <c r="X60" s="26">
        <f t="shared" si="5"/>
        <v>3</v>
      </c>
      <c r="Y60" s="26">
        <f t="shared" si="6"/>
        <v>6</v>
      </c>
      <c r="Z60" s="26" t="str">
        <f t="shared" si="7"/>
        <v>Medium</v>
      </c>
      <c r="AA60" s="26" t="str">
        <f t="shared" si="8"/>
        <v>No Change</v>
      </c>
      <c r="AB60" s="5">
        <f t="shared" si="9"/>
        <v>6.000006</v>
      </c>
    </row>
    <row r="61" spans="1:28" ht="49.5" customHeight="1">
      <c r="A61" s="22">
        <v>56</v>
      </c>
      <c r="B61" s="23" t="s">
        <v>275</v>
      </c>
      <c r="C61" s="23" t="s">
        <v>29</v>
      </c>
      <c r="D61" s="24" t="s">
        <v>313</v>
      </c>
      <c r="E61" s="24" t="s">
        <v>314</v>
      </c>
      <c r="F61" s="24" t="s">
        <v>315</v>
      </c>
      <c r="G61" s="25" t="s">
        <v>33</v>
      </c>
      <c r="H61" s="25" t="s">
        <v>108</v>
      </c>
      <c r="I61" s="25">
        <f t="shared" si="0"/>
        <v>2</v>
      </c>
      <c r="J61" s="25" t="s">
        <v>35</v>
      </c>
      <c r="K61" s="25">
        <f t="shared" si="1"/>
        <v>5</v>
      </c>
      <c r="L61" s="26">
        <f t="shared" si="2"/>
        <v>10</v>
      </c>
      <c r="M61" s="24" t="s">
        <v>316</v>
      </c>
      <c r="N61" s="24"/>
      <c r="O61" s="27">
        <v>46022</v>
      </c>
      <c r="P61" s="26" t="s">
        <v>37</v>
      </c>
      <c r="Q61" s="24" t="s">
        <v>308</v>
      </c>
      <c r="R61" s="24"/>
      <c r="S61" s="25"/>
      <c r="T61" s="25"/>
      <c r="U61" s="26" t="str">
        <f t="shared" si="3"/>
        <v>High</v>
      </c>
      <c r="V61" s="26"/>
      <c r="W61" s="26">
        <f t="shared" si="4"/>
        <v>2</v>
      </c>
      <c r="X61" s="26">
        <f t="shared" si="5"/>
        <v>5</v>
      </c>
      <c r="Y61" s="26">
        <f t="shared" si="6"/>
        <v>10</v>
      </c>
      <c r="Z61" s="26" t="str">
        <f t="shared" si="7"/>
        <v>High</v>
      </c>
      <c r="AA61" s="26" t="str">
        <f t="shared" si="8"/>
        <v>No Change</v>
      </c>
      <c r="AB61" s="5">
        <f t="shared" si="9"/>
        <v>10.0000061</v>
      </c>
    </row>
    <row r="62" spans="1:28" ht="49.5" customHeight="1">
      <c r="A62" s="22">
        <v>57</v>
      </c>
      <c r="B62" s="23" t="s">
        <v>317</v>
      </c>
      <c r="C62" s="23" t="s">
        <v>54</v>
      </c>
      <c r="D62" s="24" t="s">
        <v>318</v>
      </c>
      <c r="E62" s="24" t="s">
        <v>319</v>
      </c>
      <c r="F62" s="24" t="s">
        <v>320</v>
      </c>
      <c r="G62" s="25" t="s">
        <v>33</v>
      </c>
      <c r="H62" s="25" t="s">
        <v>34</v>
      </c>
      <c r="I62" s="25">
        <f t="shared" si="0"/>
        <v>5</v>
      </c>
      <c r="J62" s="25" t="s">
        <v>35</v>
      </c>
      <c r="K62" s="25">
        <f t="shared" si="1"/>
        <v>5</v>
      </c>
      <c r="L62" s="26">
        <f t="shared" si="2"/>
        <v>25</v>
      </c>
      <c r="M62" s="24" t="s">
        <v>321</v>
      </c>
      <c r="N62" s="24"/>
      <c r="O62" s="27">
        <v>46022</v>
      </c>
      <c r="P62" s="26" t="s">
        <v>37</v>
      </c>
      <c r="Q62" s="24" t="s">
        <v>322</v>
      </c>
      <c r="R62" s="28"/>
      <c r="S62" s="25"/>
      <c r="T62" s="25"/>
      <c r="U62" s="26" t="str">
        <f t="shared" si="3"/>
        <v>Critical</v>
      </c>
      <c r="V62" s="26"/>
      <c r="W62" s="26">
        <f t="shared" si="4"/>
        <v>5</v>
      </c>
      <c r="X62" s="26">
        <f t="shared" si="5"/>
        <v>5</v>
      </c>
      <c r="Y62" s="26">
        <f t="shared" si="6"/>
        <v>25</v>
      </c>
      <c r="Z62" s="26" t="str">
        <f t="shared" si="7"/>
        <v>Critical</v>
      </c>
      <c r="AA62" s="26" t="str">
        <f t="shared" si="8"/>
        <v>No Change</v>
      </c>
      <c r="AB62" s="5">
        <f t="shared" si="9"/>
        <v>25.000006200000001</v>
      </c>
    </row>
    <row r="63" spans="1:28" ht="49.5" customHeight="1">
      <c r="A63" s="22">
        <v>58</v>
      </c>
      <c r="B63" s="23" t="s">
        <v>317</v>
      </c>
      <c r="C63" s="23" t="s">
        <v>54</v>
      </c>
      <c r="D63" s="24" t="s">
        <v>323</v>
      </c>
      <c r="E63" s="24" t="s">
        <v>324</v>
      </c>
      <c r="F63" s="24" t="s">
        <v>325</v>
      </c>
      <c r="G63" s="25" t="s">
        <v>33</v>
      </c>
      <c r="H63" s="25" t="s">
        <v>50</v>
      </c>
      <c r="I63" s="25">
        <f t="shared" si="0"/>
        <v>3</v>
      </c>
      <c r="J63" s="25" t="s">
        <v>119</v>
      </c>
      <c r="K63" s="25">
        <f t="shared" si="1"/>
        <v>3</v>
      </c>
      <c r="L63" s="26">
        <f t="shared" si="2"/>
        <v>9</v>
      </c>
      <c r="M63" s="24" t="s">
        <v>326</v>
      </c>
      <c r="N63" s="24"/>
      <c r="O63" s="27">
        <v>46022</v>
      </c>
      <c r="P63" s="26" t="s">
        <v>37</v>
      </c>
      <c r="Q63" s="24" t="s">
        <v>327</v>
      </c>
      <c r="R63" s="24"/>
      <c r="S63" s="25"/>
      <c r="T63" s="25"/>
      <c r="U63" s="26" t="str">
        <f t="shared" si="3"/>
        <v>Medium</v>
      </c>
      <c r="V63" s="26"/>
      <c r="W63" s="26">
        <f t="shared" si="4"/>
        <v>3</v>
      </c>
      <c r="X63" s="26">
        <f t="shared" si="5"/>
        <v>3</v>
      </c>
      <c r="Y63" s="26">
        <f t="shared" si="6"/>
        <v>9</v>
      </c>
      <c r="Z63" s="26" t="str">
        <f t="shared" si="7"/>
        <v>Medium</v>
      </c>
      <c r="AA63" s="26" t="str">
        <f t="shared" si="8"/>
        <v>No Change</v>
      </c>
      <c r="AB63" s="5">
        <f t="shared" si="9"/>
        <v>9.0000063000000008</v>
      </c>
    </row>
    <row r="64" spans="1:28" ht="49.5" customHeight="1">
      <c r="A64" s="22">
        <v>59</v>
      </c>
      <c r="B64" s="23" t="s">
        <v>317</v>
      </c>
      <c r="C64" s="23" t="s">
        <v>54</v>
      </c>
      <c r="D64" s="24" t="s">
        <v>328</v>
      </c>
      <c r="E64" s="24" t="s">
        <v>329</v>
      </c>
      <c r="F64" s="24" t="s">
        <v>330</v>
      </c>
      <c r="G64" s="25" t="s">
        <v>33</v>
      </c>
      <c r="H64" s="25" t="s">
        <v>108</v>
      </c>
      <c r="I64" s="25">
        <f t="shared" si="0"/>
        <v>2</v>
      </c>
      <c r="J64" s="25" t="s">
        <v>51</v>
      </c>
      <c r="K64" s="25">
        <f t="shared" si="1"/>
        <v>4</v>
      </c>
      <c r="L64" s="26">
        <f t="shared" si="2"/>
        <v>8</v>
      </c>
      <c r="M64" s="24" t="s">
        <v>331</v>
      </c>
      <c r="N64" s="24"/>
      <c r="O64" s="27">
        <v>46022</v>
      </c>
      <c r="P64" s="26" t="s">
        <v>37</v>
      </c>
      <c r="Q64" s="24" t="s">
        <v>332</v>
      </c>
      <c r="R64" s="24"/>
      <c r="S64" s="25"/>
      <c r="T64" s="25"/>
      <c r="U64" s="26" t="str">
        <f t="shared" si="3"/>
        <v>Medium</v>
      </c>
      <c r="V64" s="26"/>
      <c r="W64" s="26">
        <f t="shared" si="4"/>
        <v>2</v>
      </c>
      <c r="X64" s="26">
        <f t="shared" si="5"/>
        <v>4</v>
      </c>
      <c r="Y64" s="26">
        <f t="shared" si="6"/>
        <v>8</v>
      </c>
      <c r="Z64" s="26" t="str">
        <f t="shared" si="7"/>
        <v>Medium</v>
      </c>
      <c r="AA64" s="26" t="str">
        <f t="shared" si="8"/>
        <v>No Change</v>
      </c>
      <c r="AB64" s="5">
        <f t="shared" si="9"/>
        <v>8.0000064000000002</v>
      </c>
    </row>
    <row r="65" spans="1:28" ht="49.5" customHeight="1">
      <c r="A65" s="22">
        <v>60</v>
      </c>
      <c r="B65" s="23" t="s">
        <v>317</v>
      </c>
      <c r="C65" s="23" t="s">
        <v>89</v>
      </c>
      <c r="D65" s="24" t="s">
        <v>333</v>
      </c>
      <c r="E65" s="24" t="s">
        <v>334</v>
      </c>
      <c r="F65" s="24" t="s">
        <v>335</v>
      </c>
      <c r="G65" s="25" t="s">
        <v>33</v>
      </c>
      <c r="H65" s="25" t="s">
        <v>34</v>
      </c>
      <c r="I65" s="25">
        <f t="shared" si="0"/>
        <v>5</v>
      </c>
      <c r="J65" s="25" t="s">
        <v>51</v>
      </c>
      <c r="K65" s="25">
        <f t="shared" si="1"/>
        <v>4</v>
      </c>
      <c r="L65" s="26">
        <f t="shared" si="2"/>
        <v>20</v>
      </c>
      <c r="M65" s="24" t="s">
        <v>336</v>
      </c>
      <c r="N65" s="24"/>
      <c r="O65" s="27">
        <v>46022</v>
      </c>
      <c r="P65" s="26" t="s">
        <v>37</v>
      </c>
      <c r="Q65" s="24" t="s">
        <v>332</v>
      </c>
      <c r="R65" s="28"/>
      <c r="S65" s="25"/>
      <c r="T65" s="25"/>
      <c r="U65" s="26" t="str">
        <f t="shared" si="3"/>
        <v>Critical</v>
      </c>
      <c r="V65" s="26"/>
      <c r="W65" s="26">
        <f t="shared" si="4"/>
        <v>5</v>
      </c>
      <c r="X65" s="26">
        <f t="shared" si="5"/>
        <v>4</v>
      </c>
      <c r="Y65" s="26">
        <f t="shared" si="6"/>
        <v>20</v>
      </c>
      <c r="Z65" s="26" t="str">
        <f t="shared" si="7"/>
        <v>Critical</v>
      </c>
      <c r="AA65" s="26" t="str">
        <f t="shared" si="8"/>
        <v>No Change</v>
      </c>
      <c r="AB65" s="5">
        <f t="shared" si="9"/>
        <v>20.000006500000001</v>
      </c>
    </row>
    <row r="66" spans="1:28" ht="49.5" customHeight="1">
      <c r="A66" s="22">
        <v>61</v>
      </c>
      <c r="B66" s="23" t="s">
        <v>317</v>
      </c>
      <c r="C66" s="23" t="s">
        <v>171</v>
      </c>
      <c r="D66" s="24" t="s">
        <v>337</v>
      </c>
      <c r="E66" s="24" t="s">
        <v>338</v>
      </c>
      <c r="F66" s="24" t="s">
        <v>339</v>
      </c>
      <c r="G66" s="25" t="s">
        <v>33</v>
      </c>
      <c r="H66" s="25" t="s">
        <v>34</v>
      </c>
      <c r="I66" s="25">
        <f t="shared" si="0"/>
        <v>5</v>
      </c>
      <c r="J66" s="25" t="s">
        <v>35</v>
      </c>
      <c r="K66" s="25">
        <f t="shared" si="1"/>
        <v>5</v>
      </c>
      <c r="L66" s="26">
        <f t="shared" si="2"/>
        <v>25</v>
      </c>
      <c r="M66" s="24" t="s">
        <v>340</v>
      </c>
      <c r="N66" s="24"/>
      <c r="O66" s="27">
        <v>46022</v>
      </c>
      <c r="P66" s="26" t="s">
        <v>37</v>
      </c>
      <c r="Q66" s="24"/>
      <c r="R66" s="24"/>
      <c r="S66" s="25"/>
      <c r="T66" s="25"/>
      <c r="U66" s="26" t="str">
        <f t="shared" si="3"/>
        <v>Critical</v>
      </c>
      <c r="V66" s="26"/>
      <c r="W66" s="26">
        <f t="shared" si="4"/>
        <v>5</v>
      </c>
      <c r="X66" s="26">
        <f t="shared" si="5"/>
        <v>5</v>
      </c>
      <c r="Y66" s="26">
        <f t="shared" si="6"/>
        <v>25</v>
      </c>
      <c r="Z66" s="26" t="str">
        <f t="shared" si="7"/>
        <v>Critical</v>
      </c>
      <c r="AA66" s="26" t="str">
        <f t="shared" si="8"/>
        <v>No Change</v>
      </c>
      <c r="AB66" s="5">
        <f t="shared" si="9"/>
        <v>25.000006599999999</v>
      </c>
    </row>
    <row r="67" spans="1:28" ht="49.5" customHeight="1">
      <c r="A67" s="22">
        <v>62</v>
      </c>
      <c r="B67" s="23" t="s">
        <v>317</v>
      </c>
      <c r="C67" s="23" t="s">
        <v>171</v>
      </c>
      <c r="D67" s="24" t="s">
        <v>341</v>
      </c>
      <c r="E67" s="24" t="s">
        <v>342</v>
      </c>
      <c r="F67" s="24" t="s">
        <v>343</v>
      </c>
      <c r="G67" s="25" t="s">
        <v>33</v>
      </c>
      <c r="H67" s="25" t="s">
        <v>34</v>
      </c>
      <c r="I67" s="25">
        <f t="shared" si="0"/>
        <v>5</v>
      </c>
      <c r="J67" s="25" t="s">
        <v>35</v>
      </c>
      <c r="K67" s="25">
        <f t="shared" si="1"/>
        <v>5</v>
      </c>
      <c r="L67" s="26">
        <f t="shared" si="2"/>
        <v>25</v>
      </c>
      <c r="M67" s="24" t="s">
        <v>344</v>
      </c>
      <c r="N67" s="24"/>
      <c r="O67" s="27">
        <v>46022</v>
      </c>
      <c r="P67" s="26" t="s">
        <v>37</v>
      </c>
      <c r="Q67" s="24"/>
      <c r="R67" s="24"/>
      <c r="S67" s="25"/>
      <c r="T67" s="25"/>
      <c r="U67" s="26" t="str">
        <f t="shared" si="3"/>
        <v>Critical</v>
      </c>
      <c r="V67" s="26"/>
      <c r="W67" s="26">
        <f t="shared" si="4"/>
        <v>5</v>
      </c>
      <c r="X67" s="26">
        <f t="shared" si="5"/>
        <v>5</v>
      </c>
      <c r="Y67" s="26">
        <f t="shared" si="6"/>
        <v>25</v>
      </c>
      <c r="Z67" s="26" t="str">
        <f t="shared" si="7"/>
        <v>Critical</v>
      </c>
      <c r="AA67" s="26" t="str">
        <f t="shared" si="8"/>
        <v>No Change</v>
      </c>
      <c r="AB67" s="5">
        <f t="shared" si="9"/>
        <v>25.0000067</v>
      </c>
    </row>
    <row r="68" spans="1:28" ht="49.5" customHeight="1">
      <c r="A68" s="22">
        <v>63</v>
      </c>
      <c r="B68" s="23" t="s">
        <v>317</v>
      </c>
      <c r="C68" s="23" t="s">
        <v>171</v>
      </c>
      <c r="D68" s="24" t="s">
        <v>345</v>
      </c>
      <c r="E68" s="24" t="s">
        <v>346</v>
      </c>
      <c r="F68" s="24" t="s">
        <v>347</v>
      </c>
      <c r="G68" s="25" t="s">
        <v>33</v>
      </c>
      <c r="H68" s="25" t="s">
        <v>34</v>
      </c>
      <c r="I68" s="25">
        <f t="shared" si="0"/>
        <v>5</v>
      </c>
      <c r="J68" s="25" t="s">
        <v>51</v>
      </c>
      <c r="K68" s="25">
        <f t="shared" si="1"/>
        <v>4</v>
      </c>
      <c r="L68" s="26">
        <f t="shared" si="2"/>
        <v>20</v>
      </c>
      <c r="M68" s="24" t="s">
        <v>348</v>
      </c>
      <c r="N68" s="24"/>
      <c r="O68" s="27">
        <v>46022</v>
      </c>
      <c r="P68" s="26" t="s">
        <v>37</v>
      </c>
      <c r="Q68" s="24"/>
      <c r="R68" s="24"/>
      <c r="S68" s="25"/>
      <c r="T68" s="25"/>
      <c r="U68" s="26" t="str">
        <f t="shared" si="3"/>
        <v>Critical</v>
      </c>
      <c r="V68" s="26"/>
      <c r="W68" s="26">
        <f t="shared" si="4"/>
        <v>5</v>
      </c>
      <c r="X68" s="26">
        <f t="shared" si="5"/>
        <v>4</v>
      </c>
      <c r="Y68" s="26">
        <f t="shared" si="6"/>
        <v>20</v>
      </c>
      <c r="Z68" s="26" t="str">
        <f t="shared" si="7"/>
        <v>Critical</v>
      </c>
      <c r="AA68" s="26" t="str">
        <f t="shared" si="8"/>
        <v>No Change</v>
      </c>
      <c r="AB68" s="5">
        <f t="shared" si="9"/>
        <v>20.000006800000001</v>
      </c>
    </row>
    <row r="69" spans="1:28" ht="49.5" customHeight="1">
      <c r="A69" s="22">
        <v>64</v>
      </c>
      <c r="B69" s="23" t="s">
        <v>317</v>
      </c>
      <c r="C69" s="23" t="s">
        <v>171</v>
      </c>
      <c r="D69" s="24" t="s">
        <v>349</v>
      </c>
      <c r="E69" s="24" t="s">
        <v>350</v>
      </c>
      <c r="F69" s="24" t="s">
        <v>351</v>
      </c>
      <c r="G69" s="25" t="s">
        <v>33</v>
      </c>
      <c r="H69" s="25" t="s">
        <v>34</v>
      </c>
      <c r="I69" s="25">
        <f t="shared" si="0"/>
        <v>5</v>
      </c>
      <c r="J69" s="25" t="s">
        <v>51</v>
      </c>
      <c r="K69" s="25">
        <f t="shared" si="1"/>
        <v>4</v>
      </c>
      <c r="L69" s="26">
        <f t="shared" si="2"/>
        <v>20</v>
      </c>
      <c r="M69" s="24" t="s">
        <v>352</v>
      </c>
      <c r="N69" s="24"/>
      <c r="O69" s="27">
        <v>46022</v>
      </c>
      <c r="P69" s="26" t="s">
        <v>37</v>
      </c>
      <c r="Q69" s="24"/>
      <c r="R69" s="24"/>
      <c r="S69" s="25"/>
      <c r="T69" s="25"/>
      <c r="U69" s="26" t="str">
        <f t="shared" si="3"/>
        <v>Critical</v>
      </c>
      <c r="V69" s="26"/>
      <c r="W69" s="26">
        <f t="shared" si="4"/>
        <v>5</v>
      </c>
      <c r="X69" s="26">
        <f t="shared" si="5"/>
        <v>4</v>
      </c>
      <c r="Y69" s="26">
        <f t="shared" si="6"/>
        <v>20</v>
      </c>
      <c r="Z69" s="26" t="str">
        <f t="shared" si="7"/>
        <v>Critical</v>
      </c>
      <c r="AA69" s="26" t="str">
        <f t="shared" si="8"/>
        <v>No Change</v>
      </c>
      <c r="AB69" s="5">
        <f t="shared" si="9"/>
        <v>20.000006899999999</v>
      </c>
    </row>
    <row r="70" spans="1:28" ht="49.5" customHeight="1">
      <c r="A70" s="22">
        <v>65</v>
      </c>
      <c r="B70" s="23" t="s">
        <v>317</v>
      </c>
      <c r="C70" s="23" t="s">
        <v>171</v>
      </c>
      <c r="D70" s="24" t="s">
        <v>353</v>
      </c>
      <c r="E70" s="24" t="s">
        <v>354</v>
      </c>
      <c r="F70" s="24" t="s">
        <v>355</v>
      </c>
      <c r="G70" s="25" t="s">
        <v>356</v>
      </c>
      <c r="H70" s="25" t="s">
        <v>34</v>
      </c>
      <c r="I70" s="25">
        <f t="shared" ref="I70:I133" si="10">IFERROR(IF(H70="Unlikely",1,IF(H70="Possible",2,IF(H70="Likely",3,IF(H70="Almost Certain",4,IF(H70="Certain",5,""))))),"")</f>
        <v>5</v>
      </c>
      <c r="J70" s="25" t="s">
        <v>51</v>
      </c>
      <c r="K70" s="25">
        <f t="shared" ref="K70:K133" si="11">IFERROR(IF(J70="Negligible",1,IF(J70="Minor",2,IF(J70="Moderate",3,IF(J70="Major",4,IF(J70="Critical",5,""))))),"")</f>
        <v>4</v>
      </c>
      <c r="L70" s="26">
        <f t="shared" ref="L70:L133" si="12">IF(OR(I70="",K70=""),"",I70*K70)</f>
        <v>20</v>
      </c>
      <c r="M70" s="24" t="s">
        <v>357</v>
      </c>
      <c r="N70" s="24"/>
      <c r="O70" s="27">
        <v>46022</v>
      </c>
      <c r="P70" s="26" t="s">
        <v>37</v>
      </c>
      <c r="Q70" s="24"/>
      <c r="R70" s="24"/>
      <c r="S70" s="25"/>
      <c r="T70" s="25"/>
      <c r="U70" s="26" t="str">
        <f t="shared" ref="U70:U133" si="13">IF(L70="","",IF(L70&lt;=4,"Low",IF(L70&lt;=9,"Medium",IF(L70&lt;=15,"High","Critical"))))</f>
        <v>Critical</v>
      </c>
      <c r="V70" s="26"/>
      <c r="W70" s="26">
        <f t="shared" ref="W70:W133" si="14">IF(I70="","",MAX(1,I70-(IF(V70="Limited",1,IF(V70="Partial",2,IF(V70="Substantial",3,IF(V70="Highly Effective",4,0)))))))</f>
        <v>5</v>
      </c>
      <c r="X70" s="26">
        <f t="shared" ref="X70:X133" si="15">IF(K70="","",MAX(1,K70-ROUNDDOWN((IF(V70="Limited",1,IF(V70="Partial",2,IF(V70="Substantial",3,IF(V70="Highly Effective",4,0)))))/2,0)))</f>
        <v>4</v>
      </c>
      <c r="Y70" s="26">
        <f t="shared" ref="Y70:Y133" si="16">IF(OR(W70="",X70=""),"",W70*X70)</f>
        <v>20</v>
      </c>
      <c r="Z70" s="26" t="str">
        <f t="shared" ref="Z70:Z133" si="17">IF(Y70="","",IF(Y70&lt;=4,"Low",IF(Y70&lt;=9,"Medium",IF(Y70&lt;=15,"High","Critical"))))</f>
        <v>Critical</v>
      </c>
      <c r="AA70" s="26" t="str">
        <f t="shared" ref="AA70:AA133" si="18">IF(OR(L70="",Y70=""),"",IF(Y70&lt;L70,"Reduced by "&amp;(L70-Y70)&amp;" pts",IF(Y70=L70,"No Change","Increased by "&amp;(Y70-L70)&amp;" pts")))</f>
        <v>No Change</v>
      </c>
      <c r="AB70" s="5">
        <f t="shared" ref="AB70:AB133" si="19">IF(Y70="","",Y70+(ROW()/10000000))</f>
        <v>20.000007</v>
      </c>
    </row>
    <row r="71" spans="1:28" ht="49.5" customHeight="1">
      <c r="A71" s="22">
        <v>66</v>
      </c>
      <c r="B71" s="23" t="s">
        <v>317</v>
      </c>
      <c r="C71" s="23" t="s">
        <v>54</v>
      </c>
      <c r="D71" s="24" t="s">
        <v>358</v>
      </c>
      <c r="E71" s="24" t="s">
        <v>359</v>
      </c>
      <c r="F71" s="24" t="s">
        <v>360</v>
      </c>
      <c r="G71" s="25" t="s">
        <v>33</v>
      </c>
      <c r="H71" s="25" t="s">
        <v>34</v>
      </c>
      <c r="I71" s="25">
        <f t="shared" si="10"/>
        <v>5</v>
      </c>
      <c r="J71" s="25" t="s">
        <v>119</v>
      </c>
      <c r="K71" s="25">
        <f t="shared" si="11"/>
        <v>3</v>
      </c>
      <c r="L71" s="26">
        <f t="shared" si="12"/>
        <v>15</v>
      </c>
      <c r="M71" s="24" t="s">
        <v>361</v>
      </c>
      <c r="N71" s="24"/>
      <c r="O71" s="27">
        <v>46022</v>
      </c>
      <c r="P71" s="26" t="s">
        <v>37</v>
      </c>
      <c r="Q71" s="24"/>
      <c r="R71" s="28"/>
      <c r="S71" s="25"/>
      <c r="T71" s="25"/>
      <c r="U71" s="26" t="str">
        <f t="shared" si="13"/>
        <v>High</v>
      </c>
      <c r="V71" s="26"/>
      <c r="W71" s="26">
        <f t="shared" si="14"/>
        <v>5</v>
      </c>
      <c r="X71" s="26">
        <f t="shared" si="15"/>
        <v>3</v>
      </c>
      <c r="Y71" s="26">
        <f t="shared" si="16"/>
        <v>15</v>
      </c>
      <c r="Z71" s="26" t="str">
        <f t="shared" si="17"/>
        <v>High</v>
      </c>
      <c r="AA71" s="26" t="str">
        <f t="shared" si="18"/>
        <v>No Change</v>
      </c>
      <c r="AB71" s="5">
        <f t="shared" si="19"/>
        <v>15.000007099999999</v>
      </c>
    </row>
    <row r="72" spans="1:28" ht="49.5" customHeight="1">
      <c r="A72" s="22">
        <v>67</v>
      </c>
      <c r="B72" s="23" t="s">
        <v>317</v>
      </c>
      <c r="C72" s="23" t="s">
        <v>29</v>
      </c>
      <c r="D72" s="24" t="s">
        <v>362</v>
      </c>
      <c r="E72" s="24" t="s">
        <v>363</v>
      </c>
      <c r="F72" s="24" t="s">
        <v>364</v>
      </c>
      <c r="G72" s="25" t="s">
        <v>58</v>
      </c>
      <c r="H72" s="25" t="s">
        <v>34</v>
      </c>
      <c r="I72" s="25">
        <f t="shared" si="10"/>
        <v>5</v>
      </c>
      <c r="J72" s="25" t="s">
        <v>51</v>
      </c>
      <c r="K72" s="25">
        <f t="shared" si="11"/>
        <v>4</v>
      </c>
      <c r="L72" s="26">
        <f t="shared" si="12"/>
        <v>20</v>
      </c>
      <c r="M72" s="24" t="s">
        <v>365</v>
      </c>
      <c r="N72" s="24"/>
      <c r="O72" s="27">
        <v>46022</v>
      </c>
      <c r="P72" s="26" t="s">
        <v>37</v>
      </c>
      <c r="Q72" s="24"/>
      <c r="R72" s="24"/>
      <c r="S72" s="25"/>
      <c r="T72" s="25"/>
      <c r="U72" s="26" t="str">
        <f t="shared" si="13"/>
        <v>Critical</v>
      </c>
      <c r="V72" s="26"/>
      <c r="W72" s="26">
        <f t="shared" si="14"/>
        <v>5</v>
      </c>
      <c r="X72" s="26">
        <f t="shared" si="15"/>
        <v>4</v>
      </c>
      <c r="Y72" s="26">
        <f t="shared" si="16"/>
        <v>20</v>
      </c>
      <c r="Z72" s="26" t="str">
        <f t="shared" si="17"/>
        <v>Critical</v>
      </c>
      <c r="AA72" s="26" t="str">
        <f t="shared" si="18"/>
        <v>No Change</v>
      </c>
      <c r="AB72" s="5">
        <f t="shared" si="19"/>
        <v>20.000007199999999</v>
      </c>
    </row>
    <row r="73" spans="1:28" ht="49.5" customHeight="1">
      <c r="A73" s="22">
        <v>68</v>
      </c>
      <c r="B73" s="23" t="s">
        <v>317</v>
      </c>
      <c r="C73" s="23" t="s">
        <v>89</v>
      </c>
      <c r="D73" s="24" t="s">
        <v>366</v>
      </c>
      <c r="E73" s="24" t="s">
        <v>367</v>
      </c>
      <c r="F73" s="24" t="s">
        <v>368</v>
      </c>
      <c r="G73" s="25" t="s">
        <v>33</v>
      </c>
      <c r="H73" s="25" t="s">
        <v>50</v>
      </c>
      <c r="I73" s="25">
        <f t="shared" si="10"/>
        <v>3</v>
      </c>
      <c r="J73" s="25" t="s">
        <v>119</v>
      </c>
      <c r="K73" s="25">
        <f t="shared" si="11"/>
        <v>3</v>
      </c>
      <c r="L73" s="26">
        <f t="shared" si="12"/>
        <v>9</v>
      </c>
      <c r="M73" s="24" t="s">
        <v>369</v>
      </c>
      <c r="N73" s="24"/>
      <c r="O73" s="27">
        <v>46022</v>
      </c>
      <c r="P73" s="26" t="s">
        <v>37</v>
      </c>
      <c r="Q73" s="24"/>
      <c r="R73" s="24"/>
      <c r="S73" s="25"/>
      <c r="T73" s="25"/>
      <c r="U73" s="26" t="str">
        <f t="shared" si="13"/>
        <v>Medium</v>
      </c>
      <c r="V73" s="26"/>
      <c r="W73" s="26">
        <f t="shared" si="14"/>
        <v>3</v>
      </c>
      <c r="X73" s="26">
        <f t="shared" si="15"/>
        <v>3</v>
      </c>
      <c r="Y73" s="26">
        <f t="shared" si="16"/>
        <v>9</v>
      </c>
      <c r="Z73" s="26" t="str">
        <f t="shared" si="17"/>
        <v>Medium</v>
      </c>
      <c r="AA73" s="26" t="str">
        <f t="shared" si="18"/>
        <v>No Change</v>
      </c>
      <c r="AB73" s="5">
        <f t="shared" si="19"/>
        <v>9.0000073</v>
      </c>
    </row>
    <row r="74" spans="1:28" ht="49.5" customHeight="1">
      <c r="A74" s="22">
        <v>69</v>
      </c>
      <c r="B74" s="23" t="s">
        <v>317</v>
      </c>
      <c r="C74" s="23" t="s">
        <v>171</v>
      </c>
      <c r="D74" s="24" t="s">
        <v>370</v>
      </c>
      <c r="E74" s="24" t="s">
        <v>371</v>
      </c>
      <c r="F74" s="24" t="s">
        <v>372</v>
      </c>
      <c r="G74" s="25" t="s">
        <v>33</v>
      </c>
      <c r="H74" s="25" t="s">
        <v>108</v>
      </c>
      <c r="I74" s="25">
        <f t="shared" si="10"/>
        <v>2</v>
      </c>
      <c r="J74" s="25" t="s">
        <v>119</v>
      </c>
      <c r="K74" s="25">
        <f t="shared" si="11"/>
        <v>3</v>
      </c>
      <c r="L74" s="26">
        <f t="shared" si="12"/>
        <v>6</v>
      </c>
      <c r="M74" s="24" t="s">
        <v>373</v>
      </c>
      <c r="N74" s="24"/>
      <c r="O74" s="27">
        <v>46022</v>
      </c>
      <c r="P74" s="26" t="s">
        <v>37</v>
      </c>
      <c r="Q74" s="24"/>
      <c r="R74" s="24"/>
      <c r="S74" s="25"/>
      <c r="T74" s="25"/>
      <c r="U74" s="26" t="str">
        <f t="shared" si="13"/>
        <v>Medium</v>
      </c>
      <c r="V74" s="26"/>
      <c r="W74" s="26">
        <f t="shared" si="14"/>
        <v>2</v>
      </c>
      <c r="X74" s="26">
        <f t="shared" si="15"/>
        <v>3</v>
      </c>
      <c r="Y74" s="26">
        <f t="shared" si="16"/>
        <v>6</v>
      </c>
      <c r="Z74" s="26" t="str">
        <f t="shared" si="17"/>
        <v>Medium</v>
      </c>
      <c r="AA74" s="26" t="str">
        <f t="shared" si="18"/>
        <v>No Change</v>
      </c>
      <c r="AB74" s="5">
        <f t="shared" si="19"/>
        <v>6.0000074000000003</v>
      </c>
    </row>
    <row r="75" spans="1:28" ht="49.5" customHeight="1">
      <c r="A75" s="22">
        <v>70</v>
      </c>
      <c r="B75" s="23" t="s">
        <v>317</v>
      </c>
      <c r="C75" s="23" t="s">
        <v>29</v>
      </c>
      <c r="D75" s="24" t="s">
        <v>374</v>
      </c>
      <c r="E75" s="24" t="s">
        <v>375</v>
      </c>
      <c r="F75" s="24" t="s">
        <v>376</v>
      </c>
      <c r="G75" s="25" t="s">
        <v>33</v>
      </c>
      <c r="H75" s="25" t="s">
        <v>108</v>
      </c>
      <c r="I75" s="25">
        <f t="shared" si="10"/>
        <v>2</v>
      </c>
      <c r="J75" s="25" t="s">
        <v>119</v>
      </c>
      <c r="K75" s="25">
        <f t="shared" si="11"/>
        <v>3</v>
      </c>
      <c r="L75" s="26">
        <f t="shared" si="12"/>
        <v>6</v>
      </c>
      <c r="M75" s="24" t="s">
        <v>377</v>
      </c>
      <c r="N75" s="24"/>
      <c r="O75" s="27">
        <v>46022</v>
      </c>
      <c r="P75" s="26" t="s">
        <v>37</v>
      </c>
      <c r="Q75" s="24"/>
      <c r="R75" s="24"/>
      <c r="S75" s="25"/>
      <c r="T75" s="25"/>
      <c r="U75" s="26" t="str">
        <f t="shared" si="13"/>
        <v>Medium</v>
      </c>
      <c r="V75" s="26"/>
      <c r="W75" s="26">
        <f t="shared" si="14"/>
        <v>2</v>
      </c>
      <c r="X75" s="26">
        <f t="shared" si="15"/>
        <v>3</v>
      </c>
      <c r="Y75" s="26">
        <f t="shared" si="16"/>
        <v>6</v>
      </c>
      <c r="Z75" s="26" t="str">
        <f t="shared" si="17"/>
        <v>Medium</v>
      </c>
      <c r="AA75" s="26" t="str">
        <f t="shared" si="18"/>
        <v>No Change</v>
      </c>
      <c r="AB75" s="5">
        <f t="shared" si="19"/>
        <v>6.0000074999999997</v>
      </c>
    </row>
    <row r="76" spans="1:28" ht="49.5" customHeight="1">
      <c r="A76" s="22">
        <v>71</v>
      </c>
      <c r="B76" s="23" t="s">
        <v>317</v>
      </c>
      <c r="C76" s="23" t="s">
        <v>61</v>
      </c>
      <c r="D76" s="24" t="s">
        <v>378</v>
      </c>
      <c r="E76" s="24" t="s">
        <v>379</v>
      </c>
      <c r="F76" s="24" t="s">
        <v>380</v>
      </c>
      <c r="G76" s="25" t="s">
        <v>33</v>
      </c>
      <c r="H76" s="25" t="s">
        <v>50</v>
      </c>
      <c r="I76" s="25">
        <f t="shared" si="10"/>
        <v>3</v>
      </c>
      <c r="J76" s="25" t="s">
        <v>51</v>
      </c>
      <c r="K76" s="25">
        <f t="shared" si="11"/>
        <v>4</v>
      </c>
      <c r="L76" s="26">
        <f t="shared" si="12"/>
        <v>12</v>
      </c>
      <c r="M76" s="24" t="s">
        <v>381</v>
      </c>
      <c r="N76" s="24"/>
      <c r="O76" s="27">
        <v>46022</v>
      </c>
      <c r="P76" s="26" t="s">
        <v>37</v>
      </c>
      <c r="Q76" s="24"/>
      <c r="R76" s="24"/>
      <c r="S76" s="25"/>
      <c r="T76" s="25"/>
      <c r="U76" s="26" t="str">
        <f t="shared" si="13"/>
        <v>High</v>
      </c>
      <c r="V76" s="26"/>
      <c r="W76" s="26">
        <f t="shared" si="14"/>
        <v>3</v>
      </c>
      <c r="X76" s="26">
        <f t="shared" si="15"/>
        <v>4</v>
      </c>
      <c r="Y76" s="26">
        <f t="shared" si="16"/>
        <v>12</v>
      </c>
      <c r="Z76" s="26" t="str">
        <f t="shared" si="17"/>
        <v>High</v>
      </c>
      <c r="AA76" s="26" t="str">
        <f t="shared" si="18"/>
        <v>No Change</v>
      </c>
      <c r="AB76" s="5">
        <f t="shared" si="19"/>
        <v>12.0000076</v>
      </c>
    </row>
    <row r="77" spans="1:28" ht="49.5" customHeight="1">
      <c r="A77" s="22">
        <v>72</v>
      </c>
      <c r="B77" s="23" t="s">
        <v>317</v>
      </c>
      <c r="C77" s="23" t="s">
        <v>89</v>
      </c>
      <c r="D77" s="24" t="s">
        <v>382</v>
      </c>
      <c r="E77" s="24" t="s">
        <v>383</v>
      </c>
      <c r="F77" s="24" t="s">
        <v>384</v>
      </c>
      <c r="G77" s="25" t="s">
        <v>33</v>
      </c>
      <c r="H77" s="25" t="s">
        <v>50</v>
      </c>
      <c r="I77" s="25">
        <f t="shared" si="10"/>
        <v>3</v>
      </c>
      <c r="J77" s="25" t="s">
        <v>51</v>
      </c>
      <c r="K77" s="25">
        <f t="shared" si="11"/>
        <v>4</v>
      </c>
      <c r="L77" s="26">
        <f t="shared" si="12"/>
        <v>12</v>
      </c>
      <c r="M77" s="24" t="s">
        <v>385</v>
      </c>
      <c r="N77" s="24"/>
      <c r="O77" s="27">
        <v>46022</v>
      </c>
      <c r="P77" s="26" t="s">
        <v>37</v>
      </c>
      <c r="Q77" s="24"/>
      <c r="R77" s="28"/>
      <c r="S77" s="25"/>
      <c r="T77" s="25"/>
      <c r="U77" s="26" t="str">
        <f t="shared" si="13"/>
        <v>High</v>
      </c>
      <c r="V77" s="26"/>
      <c r="W77" s="26">
        <f t="shared" si="14"/>
        <v>3</v>
      </c>
      <c r="X77" s="26">
        <f t="shared" si="15"/>
        <v>4</v>
      </c>
      <c r="Y77" s="26">
        <f t="shared" si="16"/>
        <v>12</v>
      </c>
      <c r="Z77" s="26" t="str">
        <f t="shared" si="17"/>
        <v>High</v>
      </c>
      <c r="AA77" s="26" t="str">
        <f t="shared" si="18"/>
        <v>No Change</v>
      </c>
      <c r="AB77" s="5">
        <f t="shared" si="19"/>
        <v>12.000007699999999</v>
      </c>
    </row>
    <row r="78" spans="1:28" ht="49.5" customHeight="1">
      <c r="A78" s="22">
        <v>73</v>
      </c>
      <c r="B78" s="23" t="s">
        <v>317</v>
      </c>
      <c r="C78" s="23" t="s">
        <v>171</v>
      </c>
      <c r="D78" s="24" t="s">
        <v>386</v>
      </c>
      <c r="E78" s="24" t="s">
        <v>387</v>
      </c>
      <c r="F78" s="24" t="s">
        <v>388</v>
      </c>
      <c r="G78" s="25" t="s">
        <v>33</v>
      </c>
      <c r="H78" s="25" t="s">
        <v>34</v>
      </c>
      <c r="I78" s="25">
        <f t="shared" si="10"/>
        <v>5</v>
      </c>
      <c r="J78" s="25" t="s">
        <v>51</v>
      </c>
      <c r="K78" s="25">
        <f t="shared" si="11"/>
        <v>4</v>
      </c>
      <c r="L78" s="26">
        <f t="shared" si="12"/>
        <v>20</v>
      </c>
      <c r="M78" s="24" t="s">
        <v>389</v>
      </c>
      <c r="N78" s="24"/>
      <c r="O78" s="27">
        <v>46022</v>
      </c>
      <c r="P78" s="26" t="s">
        <v>37</v>
      </c>
      <c r="Q78" s="24"/>
      <c r="R78" s="24"/>
      <c r="S78" s="25"/>
      <c r="T78" s="25"/>
      <c r="U78" s="26" t="str">
        <f t="shared" si="13"/>
        <v>Critical</v>
      </c>
      <c r="V78" s="26"/>
      <c r="W78" s="26">
        <f t="shared" si="14"/>
        <v>5</v>
      </c>
      <c r="X78" s="26">
        <f t="shared" si="15"/>
        <v>4</v>
      </c>
      <c r="Y78" s="26">
        <f t="shared" si="16"/>
        <v>20</v>
      </c>
      <c r="Z78" s="26" t="str">
        <f t="shared" si="17"/>
        <v>Critical</v>
      </c>
      <c r="AA78" s="26" t="str">
        <f t="shared" si="18"/>
        <v>No Change</v>
      </c>
      <c r="AB78" s="5">
        <f t="shared" si="19"/>
        <v>20.000007799999999</v>
      </c>
    </row>
    <row r="79" spans="1:28" ht="49.5" customHeight="1">
      <c r="A79" s="22">
        <v>74</v>
      </c>
      <c r="B79" s="23" t="s">
        <v>317</v>
      </c>
      <c r="C79" s="23" t="s">
        <v>171</v>
      </c>
      <c r="D79" s="24" t="s">
        <v>390</v>
      </c>
      <c r="E79" s="24" t="s">
        <v>391</v>
      </c>
      <c r="F79" s="24" t="s">
        <v>392</v>
      </c>
      <c r="G79" s="25" t="s">
        <v>356</v>
      </c>
      <c r="H79" s="25" t="s">
        <v>108</v>
      </c>
      <c r="I79" s="25">
        <f t="shared" si="10"/>
        <v>2</v>
      </c>
      <c r="J79" s="25" t="s">
        <v>51</v>
      </c>
      <c r="K79" s="25">
        <f t="shared" si="11"/>
        <v>4</v>
      </c>
      <c r="L79" s="26">
        <f t="shared" si="12"/>
        <v>8</v>
      </c>
      <c r="M79" s="24" t="s">
        <v>393</v>
      </c>
      <c r="N79" s="24"/>
      <c r="O79" s="27">
        <v>46022</v>
      </c>
      <c r="P79" s="26" t="s">
        <v>37</v>
      </c>
      <c r="Q79" s="24"/>
      <c r="R79" s="24"/>
      <c r="S79" s="25"/>
      <c r="T79" s="25"/>
      <c r="U79" s="26" t="str">
        <f t="shared" si="13"/>
        <v>Medium</v>
      </c>
      <c r="V79" s="26"/>
      <c r="W79" s="26">
        <f t="shared" si="14"/>
        <v>2</v>
      </c>
      <c r="X79" s="26">
        <f t="shared" si="15"/>
        <v>4</v>
      </c>
      <c r="Y79" s="26">
        <f t="shared" si="16"/>
        <v>8</v>
      </c>
      <c r="Z79" s="26" t="str">
        <f t="shared" si="17"/>
        <v>Medium</v>
      </c>
      <c r="AA79" s="26" t="str">
        <f t="shared" si="18"/>
        <v>No Change</v>
      </c>
      <c r="AB79" s="5">
        <f t="shared" si="19"/>
        <v>8.0000078999999999</v>
      </c>
    </row>
    <row r="80" spans="1:28" ht="49.5" customHeight="1">
      <c r="A80" s="22">
        <v>75</v>
      </c>
      <c r="B80" s="23" t="s">
        <v>317</v>
      </c>
      <c r="C80" s="23" t="s">
        <v>171</v>
      </c>
      <c r="D80" s="24" t="s">
        <v>394</v>
      </c>
      <c r="E80" s="24" t="s">
        <v>391</v>
      </c>
      <c r="F80" s="24" t="s">
        <v>395</v>
      </c>
      <c r="G80" s="25" t="s">
        <v>356</v>
      </c>
      <c r="H80" s="25" t="s">
        <v>108</v>
      </c>
      <c r="I80" s="25">
        <f t="shared" si="10"/>
        <v>2</v>
      </c>
      <c r="J80" s="25" t="s">
        <v>51</v>
      </c>
      <c r="K80" s="25">
        <f t="shared" si="11"/>
        <v>4</v>
      </c>
      <c r="L80" s="26">
        <f t="shared" si="12"/>
        <v>8</v>
      </c>
      <c r="M80" s="24" t="s">
        <v>393</v>
      </c>
      <c r="N80" s="24"/>
      <c r="O80" s="27">
        <v>46022</v>
      </c>
      <c r="P80" s="26" t="s">
        <v>37</v>
      </c>
      <c r="Q80" s="24"/>
      <c r="R80" s="28"/>
      <c r="S80" s="25"/>
      <c r="T80" s="25"/>
      <c r="U80" s="26" t="str">
        <f t="shared" si="13"/>
        <v>Medium</v>
      </c>
      <c r="V80" s="26"/>
      <c r="W80" s="26">
        <f t="shared" si="14"/>
        <v>2</v>
      </c>
      <c r="X80" s="26">
        <f t="shared" si="15"/>
        <v>4</v>
      </c>
      <c r="Y80" s="26">
        <f t="shared" si="16"/>
        <v>8</v>
      </c>
      <c r="Z80" s="26" t="str">
        <f t="shared" si="17"/>
        <v>Medium</v>
      </c>
      <c r="AA80" s="26" t="str">
        <f t="shared" si="18"/>
        <v>No Change</v>
      </c>
      <c r="AB80" s="5">
        <f t="shared" si="19"/>
        <v>8.0000079999999993</v>
      </c>
    </row>
    <row r="81" spans="1:28" ht="49.5" customHeight="1">
      <c r="A81" s="22">
        <v>76</v>
      </c>
      <c r="B81" s="23" t="s">
        <v>317</v>
      </c>
      <c r="C81" s="23" t="s">
        <v>171</v>
      </c>
      <c r="D81" s="24" t="s">
        <v>396</v>
      </c>
      <c r="E81" s="24" t="s">
        <v>397</v>
      </c>
      <c r="F81" s="24" t="s">
        <v>398</v>
      </c>
      <c r="G81" s="25" t="s">
        <v>356</v>
      </c>
      <c r="H81" s="25" t="s">
        <v>50</v>
      </c>
      <c r="I81" s="25">
        <f t="shared" si="10"/>
        <v>3</v>
      </c>
      <c r="J81" s="25" t="s">
        <v>51</v>
      </c>
      <c r="K81" s="25">
        <f t="shared" si="11"/>
        <v>4</v>
      </c>
      <c r="L81" s="26">
        <f t="shared" si="12"/>
        <v>12</v>
      </c>
      <c r="M81" s="24" t="s">
        <v>399</v>
      </c>
      <c r="N81" s="24"/>
      <c r="O81" s="27">
        <v>46022</v>
      </c>
      <c r="P81" s="26" t="s">
        <v>37</v>
      </c>
      <c r="Q81" s="24"/>
      <c r="R81" s="24"/>
      <c r="S81" s="25"/>
      <c r="T81" s="25"/>
      <c r="U81" s="26" t="str">
        <f t="shared" si="13"/>
        <v>High</v>
      </c>
      <c r="V81" s="26"/>
      <c r="W81" s="26">
        <f t="shared" si="14"/>
        <v>3</v>
      </c>
      <c r="X81" s="26">
        <f t="shared" si="15"/>
        <v>4</v>
      </c>
      <c r="Y81" s="26">
        <f t="shared" si="16"/>
        <v>12</v>
      </c>
      <c r="Z81" s="26" t="str">
        <f t="shared" si="17"/>
        <v>High</v>
      </c>
      <c r="AA81" s="26" t="str">
        <f t="shared" si="18"/>
        <v>No Change</v>
      </c>
      <c r="AB81" s="5">
        <f t="shared" si="19"/>
        <v>12.000008100000001</v>
      </c>
    </row>
    <row r="82" spans="1:28" ht="49.5" customHeight="1">
      <c r="A82" s="22">
        <v>77</v>
      </c>
      <c r="B82" s="23" t="s">
        <v>317</v>
      </c>
      <c r="C82" s="23" t="s">
        <v>138</v>
      </c>
      <c r="D82" s="24" t="s">
        <v>400</v>
      </c>
      <c r="E82" s="24" t="s">
        <v>401</v>
      </c>
      <c r="F82" s="24" t="s">
        <v>402</v>
      </c>
      <c r="G82" s="25" t="s">
        <v>356</v>
      </c>
      <c r="H82" s="25" t="s">
        <v>50</v>
      </c>
      <c r="I82" s="25">
        <f t="shared" si="10"/>
        <v>3</v>
      </c>
      <c r="J82" s="25" t="s">
        <v>51</v>
      </c>
      <c r="K82" s="25">
        <f t="shared" si="11"/>
        <v>4</v>
      </c>
      <c r="L82" s="26">
        <f t="shared" si="12"/>
        <v>12</v>
      </c>
      <c r="M82" s="24" t="s">
        <v>403</v>
      </c>
      <c r="N82" s="24"/>
      <c r="O82" s="27">
        <v>46022</v>
      </c>
      <c r="P82" s="26" t="s">
        <v>37</v>
      </c>
      <c r="Q82" s="24"/>
      <c r="R82" s="24"/>
      <c r="S82" s="25"/>
      <c r="T82" s="25"/>
      <c r="U82" s="26" t="str">
        <f t="shared" si="13"/>
        <v>High</v>
      </c>
      <c r="V82" s="26"/>
      <c r="W82" s="26">
        <f t="shared" si="14"/>
        <v>3</v>
      </c>
      <c r="X82" s="26">
        <f t="shared" si="15"/>
        <v>4</v>
      </c>
      <c r="Y82" s="26">
        <f t="shared" si="16"/>
        <v>12</v>
      </c>
      <c r="Z82" s="26" t="str">
        <f t="shared" si="17"/>
        <v>High</v>
      </c>
      <c r="AA82" s="26" t="str">
        <f t="shared" si="18"/>
        <v>No Change</v>
      </c>
      <c r="AB82" s="5">
        <f t="shared" si="19"/>
        <v>12.0000082</v>
      </c>
    </row>
    <row r="83" spans="1:28" ht="49.5" customHeight="1">
      <c r="A83" s="22">
        <v>78</v>
      </c>
      <c r="B83" s="23" t="s">
        <v>317</v>
      </c>
      <c r="C83" s="23" t="s">
        <v>39</v>
      </c>
      <c r="D83" s="24" t="s">
        <v>404</v>
      </c>
      <c r="E83" s="24" t="s">
        <v>405</v>
      </c>
      <c r="F83" s="24" t="s">
        <v>406</v>
      </c>
      <c r="G83" s="25" t="s">
        <v>245</v>
      </c>
      <c r="H83" s="25" t="s">
        <v>108</v>
      </c>
      <c r="I83" s="25">
        <f t="shared" si="10"/>
        <v>2</v>
      </c>
      <c r="J83" s="25" t="s">
        <v>35</v>
      </c>
      <c r="K83" s="25">
        <f t="shared" si="11"/>
        <v>5</v>
      </c>
      <c r="L83" s="26">
        <f t="shared" si="12"/>
        <v>10</v>
      </c>
      <c r="M83" s="24" t="s">
        <v>407</v>
      </c>
      <c r="N83" s="24"/>
      <c r="O83" s="27">
        <v>46022</v>
      </c>
      <c r="P83" s="26" t="s">
        <v>37</v>
      </c>
      <c r="Q83" s="24"/>
      <c r="R83" s="24"/>
      <c r="S83" s="25"/>
      <c r="T83" s="25"/>
      <c r="U83" s="26" t="str">
        <f t="shared" si="13"/>
        <v>High</v>
      </c>
      <c r="V83" s="26"/>
      <c r="W83" s="26">
        <f t="shared" si="14"/>
        <v>2</v>
      </c>
      <c r="X83" s="26">
        <f t="shared" si="15"/>
        <v>5</v>
      </c>
      <c r="Y83" s="26">
        <f t="shared" si="16"/>
        <v>10</v>
      </c>
      <c r="Z83" s="26" t="str">
        <f t="shared" si="17"/>
        <v>High</v>
      </c>
      <c r="AA83" s="26" t="str">
        <f t="shared" si="18"/>
        <v>No Change</v>
      </c>
      <c r="AB83" s="5">
        <f t="shared" si="19"/>
        <v>10.000008299999999</v>
      </c>
    </row>
    <row r="84" spans="1:28" ht="49.5" customHeight="1">
      <c r="A84" s="22">
        <v>79</v>
      </c>
      <c r="B84" s="23" t="s">
        <v>317</v>
      </c>
      <c r="C84" s="23" t="s">
        <v>171</v>
      </c>
      <c r="D84" s="24" t="s">
        <v>408</v>
      </c>
      <c r="E84" s="24" t="s">
        <v>409</v>
      </c>
      <c r="F84" s="24" t="s">
        <v>410</v>
      </c>
      <c r="G84" s="25" t="s">
        <v>33</v>
      </c>
      <c r="H84" s="25" t="s">
        <v>108</v>
      </c>
      <c r="I84" s="25">
        <f t="shared" si="10"/>
        <v>2</v>
      </c>
      <c r="J84" s="25" t="s">
        <v>35</v>
      </c>
      <c r="K84" s="25">
        <f t="shared" si="11"/>
        <v>5</v>
      </c>
      <c r="L84" s="26">
        <f t="shared" si="12"/>
        <v>10</v>
      </c>
      <c r="M84" s="24" t="s">
        <v>411</v>
      </c>
      <c r="N84" s="24"/>
      <c r="O84" s="27">
        <v>46022</v>
      </c>
      <c r="P84" s="26" t="s">
        <v>37</v>
      </c>
      <c r="Q84" s="24"/>
      <c r="R84" s="24"/>
      <c r="S84" s="25"/>
      <c r="T84" s="25"/>
      <c r="U84" s="26" t="str">
        <f t="shared" si="13"/>
        <v>High</v>
      </c>
      <c r="V84" s="26"/>
      <c r="W84" s="26">
        <f t="shared" si="14"/>
        <v>2</v>
      </c>
      <c r="X84" s="26">
        <f t="shared" si="15"/>
        <v>5</v>
      </c>
      <c r="Y84" s="26">
        <f t="shared" si="16"/>
        <v>10</v>
      </c>
      <c r="Z84" s="26" t="str">
        <f t="shared" si="17"/>
        <v>High</v>
      </c>
      <c r="AA84" s="26" t="str">
        <f t="shared" si="18"/>
        <v>No Change</v>
      </c>
      <c r="AB84" s="5">
        <f t="shared" si="19"/>
        <v>10.0000084</v>
      </c>
    </row>
    <row r="85" spans="1:28" ht="49.5" customHeight="1">
      <c r="A85" s="22">
        <v>80</v>
      </c>
      <c r="B85" s="23" t="s">
        <v>317</v>
      </c>
      <c r="C85" s="23" t="s">
        <v>171</v>
      </c>
      <c r="D85" s="24" t="s">
        <v>412</v>
      </c>
      <c r="E85" s="24" t="s">
        <v>413</v>
      </c>
      <c r="F85" s="24" t="s">
        <v>414</v>
      </c>
      <c r="G85" s="25" t="s">
        <v>58</v>
      </c>
      <c r="H85" s="25" t="s">
        <v>50</v>
      </c>
      <c r="I85" s="25">
        <f t="shared" si="10"/>
        <v>3</v>
      </c>
      <c r="J85" s="25" t="s">
        <v>51</v>
      </c>
      <c r="K85" s="25">
        <f t="shared" si="11"/>
        <v>4</v>
      </c>
      <c r="L85" s="26">
        <f t="shared" si="12"/>
        <v>12</v>
      </c>
      <c r="M85" s="24" t="s">
        <v>415</v>
      </c>
      <c r="N85" s="24"/>
      <c r="O85" s="27">
        <v>46022</v>
      </c>
      <c r="P85" s="26" t="s">
        <v>37</v>
      </c>
      <c r="Q85" s="24"/>
      <c r="R85" s="24"/>
      <c r="S85" s="25"/>
      <c r="T85" s="25"/>
      <c r="U85" s="26" t="str">
        <f t="shared" si="13"/>
        <v>High</v>
      </c>
      <c r="V85" s="26"/>
      <c r="W85" s="26">
        <f t="shared" si="14"/>
        <v>3</v>
      </c>
      <c r="X85" s="26">
        <f t="shared" si="15"/>
        <v>4</v>
      </c>
      <c r="Y85" s="26">
        <f t="shared" si="16"/>
        <v>12</v>
      </c>
      <c r="Z85" s="26" t="str">
        <f t="shared" si="17"/>
        <v>High</v>
      </c>
      <c r="AA85" s="26" t="str">
        <f t="shared" si="18"/>
        <v>No Change</v>
      </c>
      <c r="AB85" s="5">
        <f t="shared" si="19"/>
        <v>12.0000085</v>
      </c>
    </row>
    <row r="86" spans="1:28" ht="49.5" customHeight="1">
      <c r="A86" s="22">
        <v>81</v>
      </c>
      <c r="B86" s="23" t="s">
        <v>317</v>
      </c>
      <c r="C86" s="23" t="s">
        <v>39</v>
      </c>
      <c r="D86" s="24" t="s">
        <v>416</v>
      </c>
      <c r="E86" s="24" t="s">
        <v>417</v>
      </c>
      <c r="F86" s="24" t="s">
        <v>418</v>
      </c>
      <c r="G86" s="25" t="s">
        <v>58</v>
      </c>
      <c r="H86" s="25" t="s">
        <v>50</v>
      </c>
      <c r="I86" s="25">
        <f t="shared" si="10"/>
        <v>3</v>
      </c>
      <c r="J86" s="25" t="s">
        <v>51</v>
      </c>
      <c r="K86" s="25">
        <f t="shared" si="11"/>
        <v>4</v>
      </c>
      <c r="L86" s="26">
        <f t="shared" si="12"/>
        <v>12</v>
      </c>
      <c r="M86" s="24" t="s">
        <v>419</v>
      </c>
      <c r="N86" s="24"/>
      <c r="O86" s="27">
        <v>46022</v>
      </c>
      <c r="P86" s="26" t="s">
        <v>37</v>
      </c>
      <c r="Q86" s="24"/>
      <c r="R86" s="28"/>
      <c r="S86" s="25"/>
      <c r="T86" s="25"/>
      <c r="U86" s="26" t="str">
        <f t="shared" si="13"/>
        <v>High</v>
      </c>
      <c r="V86" s="26"/>
      <c r="W86" s="26">
        <f t="shared" si="14"/>
        <v>3</v>
      </c>
      <c r="X86" s="26">
        <f t="shared" si="15"/>
        <v>4</v>
      </c>
      <c r="Y86" s="26">
        <f t="shared" si="16"/>
        <v>12</v>
      </c>
      <c r="Z86" s="26" t="str">
        <f t="shared" si="17"/>
        <v>High</v>
      </c>
      <c r="AA86" s="26" t="str">
        <f t="shared" si="18"/>
        <v>No Change</v>
      </c>
      <c r="AB86" s="5">
        <f t="shared" si="19"/>
        <v>12.000008599999999</v>
      </c>
    </row>
    <row r="87" spans="1:28" ht="49.5" customHeight="1">
      <c r="A87" s="22">
        <v>82</v>
      </c>
      <c r="B87" s="23" t="s">
        <v>317</v>
      </c>
      <c r="C87" s="23" t="s">
        <v>171</v>
      </c>
      <c r="D87" s="24" t="s">
        <v>420</v>
      </c>
      <c r="E87" s="24" t="s">
        <v>421</v>
      </c>
      <c r="F87" s="24" t="s">
        <v>422</v>
      </c>
      <c r="G87" s="25" t="s">
        <v>58</v>
      </c>
      <c r="H87" s="25" t="s">
        <v>50</v>
      </c>
      <c r="I87" s="25">
        <f t="shared" si="10"/>
        <v>3</v>
      </c>
      <c r="J87" s="25" t="s">
        <v>51</v>
      </c>
      <c r="K87" s="25">
        <f t="shared" si="11"/>
        <v>4</v>
      </c>
      <c r="L87" s="26">
        <f t="shared" si="12"/>
        <v>12</v>
      </c>
      <c r="M87" s="24" t="s">
        <v>423</v>
      </c>
      <c r="N87" s="24"/>
      <c r="O87" s="27">
        <v>46022</v>
      </c>
      <c r="P87" s="26" t="s">
        <v>37</v>
      </c>
      <c r="Q87" s="24"/>
      <c r="R87" s="24"/>
      <c r="S87" s="25"/>
      <c r="T87" s="25"/>
      <c r="U87" s="26" t="str">
        <f t="shared" si="13"/>
        <v>High</v>
      </c>
      <c r="V87" s="26"/>
      <c r="W87" s="26">
        <f t="shared" si="14"/>
        <v>3</v>
      </c>
      <c r="X87" s="26">
        <f t="shared" si="15"/>
        <v>4</v>
      </c>
      <c r="Y87" s="26">
        <f t="shared" si="16"/>
        <v>12</v>
      </c>
      <c r="Z87" s="26" t="str">
        <f t="shared" si="17"/>
        <v>High</v>
      </c>
      <c r="AA87" s="26" t="str">
        <f t="shared" si="18"/>
        <v>No Change</v>
      </c>
      <c r="AB87" s="5">
        <f t="shared" si="19"/>
        <v>12.0000087</v>
      </c>
    </row>
    <row r="88" spans="1:28" ht="49.5" customHeight="1">
      <c r="A88" s="22">
        <v>83</v>
      </c>
      <c r="B88" s="23" t="s">
        <v>317</v>
      </c>
      <c r="C88" s="23" t="s">
        <v>171</v>
      </c>
      <c r="D88" s="24" t="s">
        <v>424</v>
      </c>
      <c r="E88" s="24" t="s">
        <v>425</v>
      </c>
      <c r="F88" s="24" t="s">
        <v>426</v>
      </c>
      <c r="G88" s="25" t="s">
        <v>33</v>
      </c>
      <c r="H88" s="25" t="s">
        <v>50</v>
      </c>
      <c r="I88" s="25">
        <f t="shared" si="10"/>
        <v>3</v>
      </c>
      <c r="J88" s="25" t="s">
        <v>51</v>
      </c>
      <c r="K88" s="25">
        <f t="shared" si="11"/>
        <v>4</v>
      </c>
      <c r="L88" s="26">
        <f t="shared" si="12"/>
        <v>12</v>
      </c>
      <c r="M88" s="24" t="s">
        <v>427</v>
      </c>
      <c r="N88" s="24"/>
      <c r="O88" s="27">
        <v>46022</v>
      </c>
      <c r="P88" s="26" t="s">
        <v>37</v>
      </c>
      <c r="Q88" s="24"/>
      <c r="R88" s="24"/>
      <c r="S88" s="25"/>
      <c r="T88" s="25"/>
      <c r="U88" s="26" t="str">
        <f t="shared" si="13"/>
        <v>High</v>
      </c>
      <c r="V88" s="26"/>
      <c r="W88" s="26">
        <f t="shared" si="14"/>
        <v>3</v>
      </c>
      <c r="X88" s="26">
        <f t="shared" si="15"/>
        <v>4</v>
      </c>
      <c r="Y88" s="26">
        <f t="shared" si="16"/>
        <v>12</v>
      </c>
      <c r="Z88" s="26" t="str">
        <f t="shared" si="17"/>
        <v>High</v>
      </c>
      <c r="AA88" s="26" t="str">
        <f t="shared" si="18"/>
        <v>No Change</v>
      </c>
      <c r="AB88" s="5">
        <f t="shared" si="19"/>
        <v>12.0000088</v>
      </c>
    </row>
    <row r="89" spans="1:28" ht="49.5" customHeight="1">
      <c r="A89" s="22">
        <v>84</v>
      </c>
      <c r="B89" s="23" t="s">
        <v>317</v>
      </c>
      <c r="C89" s="23" t="s">
        <v>73</v>
      </c>
      <c r="D89" s="24" t="s">
        <v>428</v>
      </c>
      <c r="E89" s="24" t="s">
        <v>429</v>
      </c>
      <c r="F89" s="24" t="s">
        <v>430</v>
      </c>
      <c r="G89" s="25" t="s">
        <v>58</v>
      </c>
      <c r="H89" s="25" t="s">
        <v>108</v>
      </c>
      <c r="I89" s="25">
        <f t="shared" si="10"/>
        <v>2</v>
      </c>
      <c r="J89" s="25" t="s">
        <v>119</v>
      </c>
      <c r="K89" s="25">
        <f t="shared" si="11"/>
        <v>3</v>
      </c>
      <c r="L89" s="26">
        <f t="shared" si="12"/>
        <v>6</v>
      </c>
      <c r="M89" s="24" t="s">
        <v>431</v>
      </c>
      <c r="N89" s="24"/>
      <c r="O89" s="27">
        <v>46022</v>
      </c>
      <c r="P89" s="26" t="s">
        <v>37</v>
      </c>
      <c r="Q89" s="24"/>
      <c r="R89" s="24"/>
      <c r="S89" s="25"/>
      <c r="T89" s="25"/>
      <c r="U89" s="26" t="str">
        <f t="shared" si="13"/>
        <v>Medium</v>
      </c>
      <c r="V89" s="26"/>
      <c r="W89" s="26">
        <f t="shared" si="14"/>
        <v>2</v>
      </c>
      <c r="X89" s="26">
        <f t="shared" si="15"/>
        <v>3</v>
      </c>
      <c r="Y89" s="26">
        <f t="shared" si="16"/>
        <v>6</v>
      </c>
      <c r="Z89" s="26" t="str">
        <f t="shared" si="17"/>
        <v>Medium</v>
      </c>
      <c r="AA89" s="26" t="str">
        <f t="shared" si="18"/>
        <v>No Change</v>
      </c>
      <c r="AB89" s="5">
        <f t="shared" si="19"/>
        <v>6.0000089000000001</v>
      </c>
    </row>
    <row r="90" spans="1:28" ht="49.5" customHeight="1">
      <c r="A90" s="22">
        <v>85</v>
      </c>
      <c r="B90" s="23" t="s">
        <v>317</v>
      </c>
      <c r="C90" s="23" t="s">
        <v>29</v>
      </c>
      <c r="D90" s="24" t="s">
        <v>432</v>
      </c>
      <c r="E90" s="24" t="s">
        <v>433</v>
      </c>
      <c r="F90" s="24" t="s">
        <v>434</v>
      </c>
      <c r="G90" s="25" t="s">
        <v>58</v>
      </c>
      <c r="H90" s="25" t="s">
        <v>50</v>
      </c>
      <c r="I90" s="25">
        <f t="shared" si="10"/>
        <v>3</v>
      </c>
      <c r="J90" s="25" t="s">
        <v>51</v>
      </c>
      <c r="K90" s="25">
        <f t="shared" si="11"/>
        <v>4</v>
      </c>
      <c r="L90" s="26">
        <f t="shared" si="12"/>
        <v>12</v>
      </c>
      <c r="M90" s="24" t="s">
        <v>435</v>
      </c>
      <c r="N90" s="24"/>
      <c r="O90" s="27">
        <v>46022</v>
      </c>
      <c r="P90" s="26" t="s">
        <v>37</v>
      </c>
      <c r="Q90" s="24"/>
      <c r="R90" s="24"/>
      <c r="S90" s="25"/>
      <c r="T90" s="25"/>
      <c r="U90" s="26" t="str">
        <f t="shared" si="13"/>
        <v>High</v>
      </c>
      <c r="V90" s="26"/>
      <c r="W90" s="26">
        <f t="shared" si="14"/>
        <v>3</v>
      </c>
      <c r="X90" s="26">
        <f t="shared" si="15"/>
        <v>4</v>
      </c>
      <c r="Y90" s="26">
        <f t="shared" si="16"/>
        <v>12</v>
      </c>
      <c r="Z90" s="26" t="str">
        <f t="shared" si="17"/>
        <v>High</v>
      </c>
      <c r="AA90" s="26" t="str">
        <f t="shared" si="18"/>
        <v>No Change</v>
      </c>
      <c r="AB90" s="5">
        <f t="shared" si="19"/>
        <v>12.000009</v>
      </c>
    </row>
    <row r="91" spans="1:28" ht="49.5" customHeight="1">
      <c r="A91" s="22">
        <v>86</v>
      </c>
      <c r="B91" s="23" t="s">
        <v>436</v>
      </c>
      <c r="C91" s="23" t="s">
        <v>138</v>
      </c>
      <c r="D91" s="24" t="s">
        <v>437</v>
      </c>
      <c r="E91" s="24" t="s">
        <v>438</v>
      </c>
      <c r="F91" s="24" t="s">
        <v>439</v>
      </c>
      <c r="G91" s="25" t="s">
        <v>43</v>
      </c>
      <c r="H91" s="25" t="s">
        <v>50</v>
      </c>
      <c r="I91" s="25">
        <f t="shared" si="10"/>
        <v>3</v>
      </c>
      <c r="J91" s="25" t="s">
        <v>35</v>
      </c>
      <c r="K91" s="25">
        <f t="shared" si="11"/>
        <v>5</v>
      </c>
      <c r="L91" s="26">
        <f t="shared" si="12"/>
        <v>15</v>
      </c>
      <c r="M91" s="24" t="s">
        <v>440</v>
      </c>
      <c r="N91" s="24"/>
      <c r="O91" s="27">
        <v>46022</v>
      </c>
      <c r="P91" s="26" t="s">
        <v>37</v>
      </c>
      <c r="Q91" s="24"/>
      <c r="R91" s="24"/>
      <c r="S91" s="25"/>
      <c r="T91" s="25"/>
      <c r="U91" s="26" t="str">
        <f t="shared" si="13"/>
        <v>High</v>
      </c>
      <c r="V91" s="26"/>
      <c r="W91" s="26">
        <f t="shared" si="14"/>
        <v>3</v>
      </c>
      <c r="X91" s="26">
        <f t="shared" si="15"/>
        <v>5</v>
      </c>
      <c r="Y91" s="26">
        <f t="shared" si="16"/>
        <v>15</v>
      </c>
      <c r="Z91" s="26" t="str">
        <f t="shared" si="17"/>
        <v>High</v>
      </c>
      <c r="AA91" s="26" t="str">
        <f t="shared" si="18"/>
        <v>No Change</v>
      </c>
      <c r="AB91" s="5">
        <f t="shared" si="19"/>
        <v>15.0000091</v>
      </c>
    </row>
    <row r="92" spans="1:28" ht="49.5" customHeight="1">
      <c r="A92" s="22">
        <v>87</v>
      </c>
      <c r="B92" s="23" t="s">
        <v>436</v>
      </c>
      <c r="C92" s="23" t="s">
        <v>61</v>
      </c>
      <c r="D92" s="24" t="s">
        <v>441</v>
      </c>
      <c r="E92" s="24" t="s">
        <v>442</v>
      </c>
      <c r="F92" s="24" t="s">
        <v>443</v>
      </c>
      <c r="G92" s="25" t="s">
        <v>245</v>
      </c>
      <c r="H92" s="25" t="s">
        <v>44</v>
      </c>
      <c r="I92" s="25">
        <f t="shared" si="10"/>
        <v>4</v>
      </c>
      <c r="J92" s="25" t="s">
        <v>35</v>
      </c>
      <c r="K92" s="25">
        <f t="shared" si="11"/>
        <v>5</v>
      </c>
      <c r="L92" s="26">
        <f t="shared" si="12"/>
        <v>20</v>
      </c>
      <c r="M92" s="24" t="s">
        <v>444</v>
      </c>
      <c r="N92" s="24"/>
      <c r="O92" s="27">
        <v>46022</v>
      </c>
      <c r="P92" s="26" t="s">
        <v>37</v>
      </c>
      <c r="Q92" s="24"/>
      <c r="R92" s="24"/>
      <c r="S92" s="25"/>
      <c r="T92" s="25"/>
      <c r="U92" s="26" t="str">
        <f t="shared" si="13"/>
        <v>Critical</v>
      </c>
      <c r="V92" s="26"/>
      <c r="W92" s="26">
        <f t="shared" si="14"/>
        <v>4</v>
      </c>
      <c r="X92" s="26">
        <f t="shared" si="15"/>
        <v>5</v>
      </c>
      <c r="Y92" s="26">
        <f t="shared" si="16"/>
        <v>20</v>
      </c>
      <c r="Z92" s="26" t="str">
        <f t="shared" si="17"/>
        <v>Critical</v>
      </c>
      <c r="AA92" s="26" t="str">
        <f t="shared" si="18"/>
        <v>No Change</v>
      </c>
      <c r="AB92" s="5">
        <f t="shared" si="19"/>
        <v>20.000009200000001</v>
      </c>
    </row>
    <row r="93" spans="1:28" ht="49.5" customHeight="1">
      <c r="A93" s="22">
        <v>88</v>
      </c>
      <c r="B93" s="23" t="s">
        <v>436</v>
      </c>
      <c r="C93" s="23" t="s">
        <v>61</v>
      </c>
      <c r="D93" s="24" t="s">
        <v>445</v>
      </c>
      <c r="E93" s="24" t="s">
        <v>446</v>
      </c>
      <c r="F93" s="24" t="s">
        <v>447</v>
      </c>
      <c r="G93" s="25" t="s">
        <v>245</v>
      </c>
      <c r="H93" s="25" t="s">
        <v>44</v>
      </c>
      <c r="I93" s="25">
        <f t="shared" si="10"/>
        <v>4</v>
      </c>
      <c r="J93" s="25" t="s">
        <v>35</v>
      </c>
      <c r="K93" s="25">
        <f t="shared" si="11"/>
        <v>5</v>
      </c>
      <c r="L93" s="26">
        <f t="shared" si="12"/>
        <v>20</v>
      </c>
      <c r="M93" s="24" t="s">
        <v>448</v>
      </c>
      <c r="N93" s="24"/>
      <c r="O93" s="27">
        <v>46022</v>
      </c>
      <c r="P93" s="26" t="s">
        <v>37</v>
      </c>
      <c r="Q93" s="24"/>
      <c r="R93" s="24"/>
      <c r="S93" s="25"/>
      <c r="T93" s="25"/>
      <c r="U93" s="26" t="str">
        <f t="shared" si="13"/>
        <v>Critical</v>
      </c>
      <c r="V93" s="26"/>
      <c r="W93" s="26">
        <f t="shared" si="14"/>
        <v>4</v>
      </c>
      <c r="X93" s="26">
        <f t="shared" si="15"/>
        <v>5</v>
      </c>
      <c r="Y93" s="26">
        <f t="shared" si="16"/>
        <v>20</v>
      </c>
      <c r="Z93" s="26" t="str">
        <f t="shared" si="17"/>
        <v>Critical</v>
      </c>
      <c r="AA93" s="26" t="str">
        <f t="shared" si="18"/>
        <v>No Change</v>
      </c>
      <c r="AB93" s="5">
        <f t="shared" si="19"/>
        <v>20.000009299999999</v>
      </c>
    </row>
    <row r="94" spans="1:28" ht="49.5" customHeight="1">
      <c r="A94" s="22">
        <v>89</v>
      </c>
      <c r="B94" s="23" t="s">
        <v>436</v>
      </c>
      <c r="C94" s="23" t="s">
        <v>61</v>
      </c>
      <c r="D94" s="24" t="s">
        <v>449</v>
      </c>
      <c r="E94" s="24" t="s">
        <v>450</v>
      </c>
      <c r="F94" s="24" t="s">
        <v>451</v>
      </c>
      <c r="G94" s="25" t="s">
        <v>245</v>
      </c>
      <c r="H94" s="25" t="s">
        <v>34</v>
      </c>
      <c r="I94" s="25">
        <f t="shared" si="10"/>
        <v>5</v>
      </c>
      <c r="J94" s="25" t="s">
        <v>51</v>
      </c>
      <c r="K94" s="25">
        <f t="shared" si="11"/>
        <v>4</v>
      </c>
      <c r="L94" s="26">
        <f t="shared" si="12"/>
        <v>20</v>
      </c>
      <c r="M94" s="24" t="s">
        <v>444</v>
      </c>
      <c r="N94" s="24"/>
      <c r="O94" s="27">
        <v>46022</v>
      </c>
      <c r="P94" s="26" t="s">
        <v>37</v>
      </c>
      <c r="Q94" s="24"/>
      <c r="R94" s="24"/>
      <c r="S94" s="25"/>
      <c r="T94" s="25"/>
      <c r="U94" s="26" t="str">
        <f t="shared" si="13"/>
        <v>Critical</v>
      </c>
      <c r="V94" s="26"/>
      <c r="W94" s="26">
        <f t="shared" si="14"/>
        <v>5</v>
      </c>
      <c r="X94" s="26">
        <f t="shared" si="15"/>
        <v>4</v>
      </c>
      <c r="Y94" s="26">
        <f t="shared" si="16"/>
        <v>20</v>
      </c>
      <c r="Z94" s="26" t="str">
        <f t="shared" si="17"/>
        <v>Critical</v>
      </c>
      <c r="AA94" s="26" t="str">
        <f t="shared" si="18"/>
        <v>No Change</v>
      </c>
      <c r="AB94" s="5">
        <f t="shared" si="19"/>
        <v>20.0000094</v>
      </c>
    </row>
    <row r="95" spans="1:28" ht="49.5" customHeight="1">
      <c r="A95" s="22">
        <v>90</v>
      </c>
      <c r="B95" s="23" t="s">
        <v>436</v>
      </c>
      <c r="C95" s="23" t="s">
        <v>61</v>
      </c>
      <c r="D95" s="24" t="s">
        <v>452</v>
      </c>
      <c r="E95" s="24" t="s">
        <v>453</v>
      </c>
      <c r="F95" s="24" t="s">
        <v>454</v>
      </c>
      <c r="G95" s="25" t="s">
        <v>33</v>
      </c>
      <c r="H95" s="25" t="s">
        <v>44</v>
      </c>
      <c r="I95" s="25">
        <f t="shared" si="10"/>
        <v>4</v>
      </c>
      <c r="J95" s="25" t="s">
        <v>35</v>
      </c>
      <c r="K95" s="25">
        <f t="shared" si="11"/>
        <v>5</v>
      </c>
      <c r="L95" s="26">
        <f t="shared" si="12"/>
        <v>20</v>
      </c>
      <c r="M95" s="24" t="s">
        <v>455</v>
      </c>
      <c r="N95" s="24"/>
      <c r="O95" s="27">
        <v>46022</v>
      </c>
      <c r="P95" s="26" t="s">
        <v>37</v>
      </c>
      <c r="Q95" s="24"/>
      <c r="R95" s="24"/>
      <c r="S95" s="25"/>
      <c r="T95" s="25"/>
      <c r="U95" s="26" t="str">
        <f t="shared" si="13"/>
        <v>Critical</v>
      </c>
      <c r="V95" s="26"/>
      <c r="W95" s="26">
        <f t="shared" si="14"/>
        <v>4</v>
      </c>
      <c r="X95" s="26">
        <f t="shared" si="15"/>
        <v>5</v>
      </c>
      <c r="Y95" s="26">
        <f t="shared" si="16"/>
        <v>20</v>
      </c>
      <c r="Z95" s="26" t="str">
        <f t="shared" si="17"/>
        <v>Critical</v>
      </c>
      <c r="AA95" s="26" t="str">
        <f t="shared" si="18"/>
        <v>No Change</v>
      </c>
      <c r="AB95" s="5">
        <f t="shared" si="19"/>
        <v>20.000009500000001</v>
      </c>
    </row>
    <row r="96" spans="1:28" ht="49.5" customHeight="1">
      <c r="A96" s="22">
        <v>91</v>
      </c>
      <c r="B96" s="23" t="s">
        <v>436</v>
      </c>
      <c r="C96" s="23" t="s">
        <v>61</v>
      </c>
      <c r="D96" s="24" t="s">
        <v>456</v>
      </c>
      <c r="E96" s="24" t="s">
        <v>457</v>
      </c>
      <c r="F96" s="24" t="s">
        <v>458</v>
      </c>
      <c r="G96" s="25" t="s">
        <v>33</v>
      </c>
      <c r="H96" s="25" t="s">
        <v>44</v>
      </c>
      <c r="I96" s="25">
        <f t="shared" si="10"/>
        <v>4</v>
      </c>
      <c r="J96" s="25" t="s">
        <v>35</v>
      </c>
      <c r="K96" s="25">
        <f t="shared" si="11"/>
        <v>5</v>
      </c>
      <c r="L96" s="26">
        <f t="shared" si="12"/>
        <v>20</v>
      </c>
      <c r="M96" s="24" t="s">
        <v>459</v>
      </c>
      <c r="N96" s="24"/>
      <c r="O96" s="27">
        <v>46022</v>
      </c>
      <c r="P96" s="26" t="s">
        <v>37</v>
      </c>
      <c r="Q96" s="24"/>
      <c r="R96" s="24"/>
      <c r="S96" s="25"/>
      <c r="T96" s="25"/>
      <c r="U96" s="26" t="str">
        <f t="shared" si="13"/>
        <v>Critical</v>
      </c>
      <c r="V96" s="26"/>
      <c r="W96" s="26">
        <f t="shared" si="14"/>
        <v>4</v>
      </c>
      <c r="X96" s="26">
        <f t="shared" si="15"/>
        <v>5</v>
      </c>
      <c r="Y96" s="26">
        <f t="shared" si="16"/>
        <v>20</v>
      </c>
      <c r="Z96" s="26" t="str">
        <f t="shared" si="17"/>
        <v>Critical</v>
      </c>
      <c r="AA96" s="26" t="str">
        <f t="shared" si="18"/>
        <v>No Change</v>
      </c>
      <c r="AB96" s="5">
        <f t="shared" si="19"/>
        <v>20.000009599999998</v>
      </c>
    </row>
    <row r="97" spans="1:28" ht="49.5" customHeight="1">
      <c r="A97" s="22">
        <v>92</v>
      </c>
      <c r="B97" s="23" t="s">
        <v>436</v>
      </c>
      <c r="C97" s="23" t="s">
        <v>138</v>
      </c>
      <c r="D97" s="24" t="s">
        <v>460</v>
      </c>
      <c r="E97" s="24" t="s">
        <v>461</v>
      </c>
      <c r="F97" s="24" t="s">
        <v>462</v>
      </c>
      <c r="G97" s="25" t="s">
        <v>356</v>
      </c>
      <c r="H97" s="25" t="s">
        <v>44</v>
      </c>
      <c r="I97" s="25">
        <f t="shared" si="10"/>
        <v>4</v>
      </c>
      <c r="J97" s="25" t="s">
        <v>35</v>
      </c>
      <c r="K97" s="25">
        <f t="shared" si="11"/>
        <v>5</v>
      </c>
      <c r="L97" s="26">
        <f t="shared" si="12"/>
        <v>20</v>
      </c>
      <c r="M97" s="24" t="s">
        <v>463</v>
      </c>
      <c r="N97" s="24"/>
      <c r="O97" s="27">
        <v>46022</v>
      </c>
      <c r="P97" s="26" t="s">
        <v>37</v>
      </c>
      <c r="Q97" s="24"/>
      <c r="R97" s="24"/>
      <c r="S97" s="25"/>
      <c r="T97" s="25"/>
      <c r="U97" s="26" t="str">
        <f t="shared" si="13"/>
        <v>Critical</v>
      </c>
      <c r="V97" s="26"/>
      <c r="W97" s="26">
        <f t="shared" si="14"/>
        <v>4</v>
      </c>
      <c r="X97" s="26">
        <f t="shared" si="15"/>
        <v>5</v>
      </c>
      <c r="Y97" s="26">
        <f t="shared" si="16"/>
        <v>20</v>
      </c>
      <c r="Z97" s="26" t="str">
        <f t="shared" si="17"/>
        <v>Critical</v>
      </c>
      <c r="AA97" s="26" t="str">
        <f t="shared" si="18"/>
        <v>No Change</v>
      </c>
      <c r="AB97" s="5">
        <f t="shared" si="19"/>
        <v>20.0000097</v>
      </c>
    </row>
    <row r="98" spans="1:28" ht="49.5" customHeight="1">
      <c r="A98" s="22">
        <v>93</v>
      </c>
      <c r="B98" s="23" t="s">
        <v>436</v>
      </c>
      <c r="C98" s="23" t="s">
        <v>184</v>
      </c>
      <c r="D98" s="24" t="s">
        <v>464</v>
      </c>
      <c r="E98" s="24" t="s">
        <v>465</v>
      </c>
      <c r="F98" s="24" t="s">
        <v>466</v>
      </c>
      <c r="G98" s="25" t="s">
        <v>356</v>
      </c>
      <c r="H98" s="25" t="s">
        <v>50</v>
      </c>
      <c r="I98" s="25">
        <f t="shared" si="10"/>
        <v>3</v>
      </c>
      <c r="J98" s="25" t="s">
        <v>51</v>
      </c>
      <c r="K98" s="25">
        <f t="shared" si="11"/>
        <v>4</v>
      </c>
      <c r="L98" s="26">
        <f t="shared" si="12"/>
        <v>12</v>
      </c>
      <c r="M98" s="24" t="s">
        <v>467</v>
      </c>
      <c r="N98" s="24"/>
      <c r="O98" s="27">
        <v>46022</v>
      </c>
      <c r="P98" s="26" t="s">
        <v>37</v>
      </c>
      <c r="Q98" s="24"/>
      <c r="R98" s="24"/>
      <c r="S98" s="25"/>
      <c r="T98" s="25"/>
      <c r="U98" s="26" t="str">
        <f t="shared" si="13"/>
        <v>High</v>
      </c>
      <c r="V98" s="26"/>
      <c r="W98" s="26">
        <f t="shared" si="14"/>
        <v>3</v>
      </c>
      <c r="X98" s="26">
        <f t="shared" si="15"/>
        <v>4</v>
      </c>
      <c r="Y98" s="26">
        <f t="shared" si="16"/>
        <v>12</v>
      </c>
      <c r="Z98" s="26" t="str">
        <f t="shared" si="17"/>
        <v>High</v>
      </c>
      <c r="AA98" s="26" t="str">
        <f t="shared" si="18"/>
        <v>No Change</v>
      </c>
      <c r="AB98" s="5">
        <f t="shared" si="19"/>
        <v>12.000009800000001</v>
      </c>
    </row>
    <row r="99" spans="1:28" ht="49.5" customHeight="1">
      <c r="A99" s="22">
        <v>94</v>
      </c>
      <c r="B99" s="23" t="s">
        <v>436</v>
      </c>
      <c r="C99" s="23" t="s">
        <v>61</v>
      </c>
      <c r="D99" s="24" t="s">
        <v>468</v>
      </c>
      <c r="E99" s="24" t="s">
        <v>469</v>
      </c>
      <c r="F99" s="24" t="s">
        <v>470</v>
      </c>
      <c r="G99" s="25" t="s">
        <v>245</v>
      </c>
      <c r="H99" s="25" t="s">
        <v>44</v>
      </c>
      <c r="I99" s="25">
        <f t="shared" si="10"/>
        <v>4</v>
      </c>
      <c r="J99" s="25" t="s">
        <v>51</v>
      </c>
      <c r="K99" s="25">
        <f t="shared" si="11"/>
        <v>4</v>
      </c>
      <c r="L99" s="26">
        <f t="shared" si="12"/>
        <v>16</v>
      </c>
      <c r="M99" s="24" t="s">
        <v>471</v>
      </c>
      <c r="N99" s="24"/>
      <c r="O99" s="27">
        <v>46022</v>
      </c>
      <c r="P99" s="26" t="s">
        <v>37</v>
      </c>
      <c r="Q99" s="24"/>
      <c r="R99" s="28"/>
      <c r="S99" s="25"/>
      <c r="T99" s="25"/>
      <c r="U99" s="26" t="str">
        <f t="shared" si="13"/>
        <v>Critical</v>
      </c>
      <c r="V99" s="26"/>
      <c r="W99" s="26">
        <f t="shared" si="14"/>
        <v>4</v>
      </c>
      <c r="X99" s="26">
        <f t="shared" si="15"/>
        <v>4</v>
      </c>
      <c r="Y99" s="26">
        <f t="shared" si="16"/>
        <v>16</v>
      </c>
      <c r="Z99" s="26" t="str">
        <f t="shared" si="17"/>
        <v>Critical</v>
      </c>
      <c r="AA99" s="26" t="str">
        <f t="shared" si="18"/>
        <v>No Change</v>
      </c>
      <c r="AB99" s="5">
        <f t="shared" si="19"/>
        <v>16.000009899999998</v>
      </c>
    </row>
    <row r="100" spans="1:28" ht="49.5" customHeight="1">
      <c r="A100" s="22">
        <v>95</v>
      </c>
      <c r="B100" s="23" t="s">
        <v>436</v>
      </c>
      <c r="C100" s="23" t="s">
        <v>29</v>
      </c>
      <c r="D100" s="24" t="s">
        <v>472</v>
      </c>
      <c r="E100" s="24" t="s">
        <v>473</v>
      </c>
      <c r="F100" s="24" t="s">
        <v>474</v>
      </c>
      <c r="G100" s="25" t="s">
        <v>33</v>
      </c>
      <c r="H100" s="25" t="s">
        <v>34</v>
      </c>
      <c r="I100" s="25">
        <f t="shared" si="10"/>
        <v>5</v>
      </c>
      <c r="J100" s="25" t="s">
        <v>51</v>
      </c>
      <c r="K100" s="25">
        <f t="shared" si="11"/>
        <v>4</v>
      </c>
      <c r="L100" s="26">
        <f t="shared" si="12"/>
        <v>20</v>
      </c>
      <c r="M100" s="24" t="s">
        <v>475</v>
      </c>
      <c r="N100" s="24"/>
      <c r="O100" s="27">
        <v>46022</v>
      </c>
      <c r="P100" s="26" t="s">
        <v>37</v>
      </c>
      <c r="Q100" s="24"/>
      <c r="R100" s="24"/>
      <c r="S100" s="25"/>
      <c r="T100" s="25"/>
      <c r="U100" s="26" t="str">
        <f t="shared" si="13"/>
        <v>Critical</v>
      </c>
      <c r="V100" s="26"/>
      <c r="W100" s="26">
        <f t="shared" si="14"/>
        <v>5</v>
      </c>
      <c r="X100" s="26">
        <f t="shared" si="15"/>
        <v>4</v>
      </c>
      <c r="Y100" s="26">
        <f t="shared" si="16"/>
        <v>20</v>
      </c>
      <c r="Z100" s="26" t="str">
        <f t="shared" si="17"/>
        <v>Critical</v>
      </c>
      <c r="AA100" s="26" t="str">
        <f t="shared" si="18"/>
        <v>No Change</v>
      </c>
      <c r="AB100" s="5">
        <f t="shared" si="19"/>
        <v>20.00001</v>
      </c>
    </row>
    <row r="101" spans="1:28" ht="49.5" customHeight="1">
      <c r="A101" s="22">
        <v>96</v>
      </c>
      <c r="B101" s="23" t="s">
        <v>476</v>
      </c>
      <c r="C101" s="23" t="s">
        <v>39</v>
      </c>
      <c r="D101" s="24" t="s">
        <v>477</v>
      </c>
      <c r="E101" s="24" t="s">
        <v>478</v>
      </c>
      <c r="F101" s="24" t="s">
        <v>479</v>
      </c>
      <c r="G101" s="25" t="s">
        <v>33</v>
      </c>
      <c r="H101" s="25" t="s">
        <v>44</v>
      </c>
      <c r="I101" s="25">
        <f t="shared" si="10"/>
        <v>4</v>
      </c>
      <c r="J101" s="25" t="s">
        <v>51</v>
      </c>
      <c r="K101" s="25">
        <f t="shared" si="11"/>
        <v>4</v>
      </c>
      <c r="L101" s="26">
        <f t="shared" si="12"/>
        <v>16</v>
      </c>
      <c r="M101" s="24" t="s">
        <v>480</v>
      </c>
      <c r="N101" s="24"/>
      <c r="O101" s="27">
        <v>46022</v>
      </c>
      <c r="P101" s="26" t="s">
        <v>37</v>
      </c>
      <c r="Q101" s="24"/>
      <c r="R101" s="24"/>
      <c r="S101" s="25"/>
      <c r="T101" s="25"/>
      <c r="U101" s="26" t="str">
        <f t="shared" si="13"/>
        <v>Critical</v>
      </c>
      <c r="V101" s="26"/>
      <c r="W101" s="26">
        <f t="shared" si="14"/>
        <v>4</v>
      </c>
      <c r="X101" s="26">
        <f t="shared" si="15"/>
        <v>4</v>
      </c>
      <c r="Y101" s="26">
        <f t="shared" si="16"/>
        <v>16</v>
      </c>
      <c r="Z101" s="26" t="str">
        <f t="shared" si="17"/>
        <v>Critical</v>
      </c>
      <c r="AA101" s="26" t="str">
        <f t="shared" si="18"/>
        <v>No Change</v>
      </c>
      <c r="AB101" s="5">
        <f t="shared" si="19"/>
        <v>16.000010100000001</v>
      </c>
    </row>
    <row r="102" spans="1:28" ht="49.5" customHeight="1">
      <c r="A102" s="22">
        <v>97</v>
      </c>
      <c r="B102" s="23" t="s">
        <v>476</v>
      </c>
      <c r="C102" s="23" t="s">
        <v>29</v>
      </c>
      <c r="D102" s="24" t="s">
        <v>481</v>
      </c>
      <c r="E102" s="24" t="s">
        <v>482</v>
      </c>
      <c r="F102" s="24" t="s">
        <v>483</v>
      </c>
      <c r="G102" s="25" t="s">
        <v>33</v>
      </c>
      <c r="H102" s="25" t="s">
        <v>50</v>
      </c>
      <c r="I102" s="25">
        <f t="shared" si="10"/>
        <v>3</v>
      </c>
      <c r="J102" s="25" t="s">
        <v>51</v>
      </c>
      <c r="K102" s="25">
        <f t="shared" si="11"/>
        <v>4</v>
      </c>
      <c r="L102" s="26">
        <f t="shared" si="12"/>
        <v>12</v>
      </c>
      <c r="M102" s="24" t="s">
        <v>484</v>
      </c>
      <c r="N102" s="24"/>
      <c r="O102" s="27">
        <v>46022</v>
      </c>
      <c r="P102" s="26" t="s">
        <v>37</v>
      </c>
      <c r="Q102" s="24"/>
      <c r="R102" s="24"/>
      <c r="S102" s="25"/>
      <c r="T102" s="25"/>
      <c r="U102" s="26" t="str">
        <f t="shared" si="13"/>
        <v>High</v>
      </c>
      <c r="V102" s="26"/>
      <c r="W102" s="26">
        <f t="shared" si="14"/>
        <v>3</v>
      </c>
      <c r="X102" s="26">
        <f t="shared" si="15"/>
        <v>4</v>
      </c>
      <c r="Y102" s="26">
        <f t="shared" si="16"/>
        <v>12</v>
      </c>
      <c r="Z102" s="26" t="str">
        <f t="shared" si="17"/>
        <v>High</v>
      </c>
      <c r="AA102" s="26" t="str">
        <f t="shared" si="18"/>
        <v>No Change</v>
      </c>
      <c r="AB102" s="5">
        <f t="shared" si="19"/>
        <v>12.0000102</v>
      </c>
    </row>
    <row r="103" spans="1:28" ht="49.5" customHeight="1">
      <c r="A103" s="22">
        <v>98</v>
      </c>
      <c r="B103" s="23" t="s">
        <v>476</v>
      </c>
      <c r="C103" s="23" t="s">
        <v>184</v>
      </c>
      <c r="D103" s="24" t="s">
        <v>485</v>
      </c>
      <c r="E103" s="24" t="s">
        <v>486</v>
      </c>
      <c r="F103" s="24" t="s">
        <v>487</v>
      </c>
      <c r="G103" s="25" t="s">
        <v>33</v>
      </c>
      <c r="H103" s="25" t="s">
        <v>50</v>
      </c>
      <c r="I103" s="25">
        <f t="shared" si="10"/>
        <v>3</v>
      </c>
      <c r="J103" s="25" t="s">
        <v>35</v>
      </c>
      <c r="K103" s="25">
        <f t="shared" si="11"/>
        <v>5</v>
      </c>
      <c r="L103" s="26">
        <f t="shared" si="12"/>
        <v>15</v>
      </c>
      <c r="M103" s="24" t="s">
        <v>488</v>
      </c>
      <c r="N103" s="24"/>
      <c r="O103" s="27">
        <v>46022</v>
      </c>
      <c r="P103" s="26" t="s">
        <v>37</v>
      </c>
      <c r="Q103" s="24"/>
      <c r="R103" s="24"/>
      <c r="S103" s="25"/>
      <c r="T103" s="25"/>
      <c r="U103" s="26" t="str">
        <f t="shared" si="13"/>
        <v>High</v>
      </c>
      <c r="V103" s="26"/>
      <c r="W103" s="26">
        <f t="shared" si="14"/>
        <v>3</v>
      </c>
      <c r="X103" s="26">
        <f t="shared" si="15"/>
        <v>5</v>
      </c>
      <c r="Y103" s="26">
        <f t="shared" si="16"/>
        <v>15</v>
      </c>
      <c r="Z103" s="26" t="str">
        <f t="shared" si="17"/>
        <v>High</v>
      </c>
      <c r="AA103" s="26" t="str">
        <f t="shared" si="18"/>
        <v>No Change</v>
      </c>
      <c r="AB103" s="5">
        <f t="shared" si="19"/>
        <v>15.0000103</v>
      </c>
    </row>
    <row r="104" spans="1:28" ht="49.5" customHeight="1">
      <c r="A104" s="22">
        <v>99</v>
      </c>
      <c r="B104" s="23" t="s">
        <v>476</v>
      </c>
      <c r="C104" s="23" t="s">
        <v>171</v>
      </c>
      <c r="D104" s="24" t="s">
        <v>489</v>
      </c>
      <c r="E104" s="24" t="s">
        <v>490</v>
      </c>
      <c r="F104" s="24" t="s">
        <v>491</v>
      </c>
      <c r="G104" s="25" t="s">
        <v>33</v>
      </c>
      <c r="H104" s="25" t="s">
        <v>44</v>
      </c>
      <c r="I104" s="25">
        <f t="shared" si="10"/>
        <v>4</v>
      </c>
      <c r="J104" s="25" t="s">
        <v>51</v>
      </c>
      <c r="K104" s="25">
        <f t="shared" si="11"/>
        <v>4</v>
      </c>
      <c r="L104" s="26">
        <f t="shared" si="12"/>
        <v>16</v>
      </c>
      <c r="M104" s="24" t="s">
        <v>492</v>
      </c>
      <c r="N104" s="24"/>
      <c r="O104" s="27">
        <v>46022</v>
      </c>
      <c r="P104" s="26" t="s">
        <v>37</v>
      </c>
      <c r="Q104" s="24"/>
      <c r="R104" s="24"/>
      <c r="S104" s="25"/>
      <c r="T104" s="25"/>
      <c r="U104" s="26" t="str">
        <f t="shared" si="13"/>
        <v>Critical</v>
      </c>
      <c r="V104" s="26"/>
      <c r="W104" s="26">
        <f t="shared" si="14"/>
        <v>4</v>
      </c>
      <c r="X104" s="26">
        <f t="shared" si="15"/>
        <v>4</v>
      </c>
      <c r="Y104" s="26">
        <f t="shared" si="16"/>
        <v>16</v>
      </c>
      <c r="Z104" s="26" t="str">
        <f t="shared" si="17"/>
        <v>Critical</v>
      </c>
      <c r="AA104" s="26" t="str">
        <f t="shared" si="18"/>
        <v>No Change</v>
      </c>
      <c r="AB104" s="5">
        <f t="shared" si="19"/>
        <v>16.000010400000001</v>
      </c>
    </row>
    <row r="105" spans="1:28" ht="49.5" customHeight="1">
      <c r="A105" s="22">
        <v>100</v>
      </c>
      <c r="B105" s="23" t="s">
        <v>476</v>
      </c>
      <c r="C105" s="23" t="s">
        <v>184</v>
      </c>
      <c r="D105" s="24" t="s">
        <v>493</v>
      </c>
      <c r="E105" s="24" t="s">
        <v>494</v>
      </c>
      <c r="F105" s="24" t="s">
        <v>495</v>
      </c>
      <c r="G105" s="25" t="s">
        <v>58</v>
      </c>
      <c r="H105" s="25" t="s">
        <v>44</v>
      </c>
      <c r="I105" s="25">
        <f t="shared" si="10"/>
        <v>4</v>
      </c>
      <c r="J105" s="25" t="s">
        <v>119</v>
      </c>
      <c r="K105" s="25">
        <f t="shared" si="11"/>
        <v>3</v>
      </c>
      <c r="L105" s="26">
        <f t="shared" si="12"/>
        <v>12</v>
      </c>
      <c r="M105" s="24" t="s">
        <v>496</v>
      </c>
      <c r="N105" s="24"/>
      <c r="O105" s="27">
        <v>46022</v>
      </c>
      <c r="P105" s="26" t="s">
        <v>37</v>
      </c>
      <c r="Q105" s="24"/>
      <c r="R105" s="24"/>
      <c r="S105" s="25"/>
      <c r="T105" s="25"/>
      <c r="U105" s="26" t="str">
        <f t="shared" si="13"/>
        <v>High</v>
      </c>
      <c r="V105" s="26"/>
      <c r="W105" s="26">
        <f t="shared" si="14"/>
        <v>4</v>
      </c>
      <c r="X105" s="26">
        <f t="shared" si="15"/>
        <v>3</v>
      </c>
      <c r="Y105" s="26">
        <f t="shared" si="16"/>
        <v>12</v>
      </c>
      <c r="Z105" s="26" t="str">
        <f t="shared" si="17"/>
        <v>High</v>
      </c>
      <c r="AA105" s="26" t="str">
        <f t="shared" si="18"/>
        <v>No Change</v>
      </c>
      <c r="AB105" s="5">
        <f t="shared" si="19"/>
        <v>12.0000105</v>
      </c>
    </row>
    <row r="106" spans="1:28" ht="49.5" customHeight="1">
      <c r="A106" s="22">
        <v>101</v>
      </c>
      <c r="B106" s="23" t="s">
        <v>476</v>
      </c>
      <c r="C106" s="23" t="s">
        <v>184</v>
      </c>
      <c r="D106" s="24" t="s">
        <v>497</v>
      </c>
      <c r="E106" s="24" t="s">
        <v>498</v>
      </c>
      <c r="F106" s="24" t="s">
        <v>499</v>
      </c>
      <c r="G106" s="25" t="s">
        <v>58</v>
      </c>
      <c r="H106" s="25" t="s">
        <v>44</v>
      </c>
      <c r="I106" s="25">
        <f t="shared" si="10"/>
        <v>4</v>
      </c>
      <c r="J106" s="25" t="s">
        <v>119</v>
      </c>
      <c r="K106" s="25">
        <f t="shared" si="11"/>
        <v>3</v>
      </c>
      <c r="L106" s="26">
        <f t="shared" si="12"/>
        <v>12</v>
      </c>
      <c r="M106" s="24" t="s">
        <v>500</v>
      </c>
      <c r="N106" s="24"/>
      <c r="O106" s="27">
        <v>46022</v>
      </c>
      <c r="P106" s="26" t="s">
        <v>501</v>
      </c>
      <c r="Q106" s="24"/>
      <c r="R106" s="24"/>
      <c r="S106" s="25"/>
      <c r="T106" s="25"/>
      <c r="U106" s="26" t="str">
        <f t="shared" si="13"/>
        <v>High</v>
      </c>
      <c r="V106" s="26"/>
      <c r="W106" s="26">
        <f t="shared" si="14"/>
        <v>4</v>
      </c>
      <c r="X106" s="26">
        <f t="shared" si="15"/>
        <v>3</v>
      </c>
      <c r="Y106" s="26">
        <f t="shared" si="16"/>
        <v>12</v>
      </c>
      <c r="Z106" s="26" t="str">
        <f t="shared" si="17"/>
        <v>High</v>
      </c>
      <c r="AA106" s="26" t="str">
        <f t="shared" si="18"/>
        <v>No Change</v>
      </c>
      <c r="AB106" s="5">
        <f t="shared" si="19"/>
        <v>12.0000106</v>
      </c>
    </row>
    <row r="107" spans="1:28" ht="49.5" customHeight="1">
      <c r="A107" s="22">
        <v>102</v>
      </c>
      <c r="B107" s="23" t="s">
        <v>476</v>
      </c>
      <c r="C107" s="23" t="s">
        <v>184</v>
      </c>
      <c r="D107" s="24" t="s">
        <v>502</v>
      </c>
      <c r="E107" s="24" t="s">
        <v>503</v>
      </c>
      <c r="F107" s="24" t="s">
        <v>504</v>
      </c>
      <c r="G107" s="25" t="s">
        <v>99</v>
      </c>
      <c r="H107" s="25" t="s">
        <v>50</v>
      </c>
      <c r="I107" s="25">
        <f t="shared" si="10"/>
        <v>3</v>
      </c>
      <c r="J107" s="25" t="s">
        <v>51</v>
      </c>
      <c r="K107" s="25">
        <f t="shared" si="11"/>
        <v>4</v>
      </c>
      <c r="L107" s="26">
        <f t="shared" si="12"/>
        <v>12</v>
      </c>
      <c r="M107" s="24" t="s">
        <v>505</v>
      </c>
      <c r="N107" s="24"/>
      <c r="O107" s="27"/>
      <c r="P107" s="26" t="s">
        <v>501</v>
      </c>
      <c r="Q107" s="24"/>
      <c r="R107" s="24"/>
      <c r="S107" s="25"/>
      <c r="T107" s="25"/>
      <c r="U107" s="26" t="str">
        <f t="shared" si="13"/>
        <v>High</v>
      </c>
      <c r="V107" s="26"/>
      <c r="W107" s="26">
        <f t="shared" si="14"/>
        <v>3</v>
      </c>
      <c r="X107" s="26">
        <f t="shared" si="15"/>
        <v>4</v>
      </c>
      <c r="Y107" s="26">
        <f t="shared" si="16"/>
        <v>12</v>
      </c>
      <c r="Z107" s="26" t="str">
        <f t="shared" si="17"/>
        <v>High</v>
      </c>
      <c r="AA107" s="26" t="str">
        <f t="shared" si="18"/>
        <v>No Change</v>
      </c>
      <c r="AB107" s="5">
        <f t="shared" si="19"/>
        <v>12.000010700000001</v>
      </c>
    </row>
    <row r="108" spans="1:28" ht="49.5" customHeight="1">
      <c r="A108" s="22">
        <v>103</v>
      </c>
      <c r="B108" s="23" t="s">
        <v>476</v>
      </c>
      <c r="C108" s="23" t="s">
        <v>184</v>
      </c>
      <c r="D108" s="24" t="s">
        <v>506</v>
      </c>
      <c r="E108" s="24" t="s">
        <v>507</v>
      </c>
      <c r="F108" s="24"/>
      <c r="G108" s="25" t="s">
        <v>33</v>
      </c>
      <c r="H108" s="25" t="s">
        <v>50</v>
      </c>
      <c r="I108" s="25">
        <f t="shared" si="10"/>
        <v>3</v>
      </c>
      <c r="J108" s="25" t="s">
        <v>119</v>
      </c>
      <c r="K108" s="25">
        <f t="shared" si="11"/>
        <v>3</v>
      </c>
      <c r="L108" s="26">
        <f t="shared" si="12"/>
        <v>9</v>
      </c>
      <c r="M108" s="24"/>
      <c r="N108" s="24"/>
      <c r="O108" s="27"/>
      <c r="P108" s="26" t="s">
        <v>501</v>
      </c>
      <c r="Q108" s="24"/>
      <c r="R108" s="24"/>
      <c r="S108" s="25"/>
      <c r="T108" s="25"/>
      <c r="U108" s="26" t="str">
        <f t="shared" si="13"/>
        <v>Medium</v>
      </c>
      <c r="V108" s="26"/>
      <c r="W108" s="26">
        <f t="shared" si="14"/>
        <v>3</v>
      </c>
      <c r="X108" s="26">
        <f t="shared" si="15"/>
        <v>3</v>
      </c>
      <c r="Y108" s="26">
        <f t="shared" si="16"/>
        <v>9</v>
      </c>
      <c r="Z108" s="26" t="str">
        <f t="shared" si="17"/>
        <v>Medium</v>
      </c>
      <c r="AA108" s="26" t="str">
        <f t="shared" si="18"/>
        <v>No Change</v>
      </c>
      <c r="AB108" s="5">
        <f t="shared" si="19"/>
        <v>9.0000108000000001</v>
      </c>
    </row>
    <row r="109" spans="1:28" ht="49.5" customHeight="1">
      <c r="A109" s="22">
        <v>104</v>
      </c>
      <c r="B109" s="23" t="s">
        <v>476</v>
      </c>
      <c r="C109" s="23" t="s">
        <v>138</v>
      </c>
      <c r="D109" s="24" t="s">
        <v>508</v>
      </c>
      <c r="E109" s="24" t="s">
        <v>509</v>
      </c>
      <c r="F109" s="24" t="s">
        <v>510</v>
      </c>
      <c r="G109" s="25" t="s">
        <v>356</v>
      </c>
      <c r="H109" s="25" t="s">
        <v>50</v>
      </c>
      <c r="I109" s="25">
        <f t="shared" si="10"/>
        <v>3</v>
      </c>
      <c r="J109" s="25" t="s">
        <v>119</v>
      </c>
      <c r="K109" s="25">
        <f t="shared" si="11"/>
        <v>3</v>
      </c>
      <c r="L109" s="26">
        <f t="shared" si="12"/>
        <v>9</v>
      </c>
      <c r="M109" s="24" t="s">
        <v>511</v>
      </c>
      <c r="N109" s="24"/>
      <c r="O109" s="27"/>
      <c r="P109" s="26" t="s">
        <v>512</v>
      </c>
      <c r="Q109" s="24"/>
      <c r="R109" s="24"/>
      <c r="S109" s="25"/>
      <c r="T109" s="25"/>
      <c r="U109" s="26" t="str">
        <f t="shared" si="13"/>
        <v>Medium</v>
      </c>
      <c r="V109" s="26"/>
      <c r="W109" s="26">
        <f t="shared" si="14"/>
        <v>3</v>
      </c>
      <c r="X109" s="26">
        <f t="shared" si="15"/>
        <v>3</v>
      </c>
      <c r="Y109" s="26">
        <f t="shared" si="16"/>
        <v>9</v>
      </c>
      <c r="Z109" s="26" t="str">
        <f t="shared" si="17"/>
        <v>Medium</v>
      </c>
      <c r="AA109" s="26" t="str">
        <f t="shared" si="18"/>
        <v>No Change</v>
      </c>
      <c r="AB109" s="5">
        <f t="shared" si="19"/>
        <v>9.0000108999999995</v>
      </c>
    </row>
    <row r="110" spans="1:28" ht="49.5" customHeight="1">
      <c r="A110" s="22">
        <v>105</v>
      </c>
      <c r="B110" s="23" t="s">
        <v>476</v>
      </c>
      <c r="C110" s="23" t="s">
        <v>184</v>
      </c>
      <c r="D110" s="24" t="s">
        <v>513</v>
      </c>
      <c r="E110" s="24" t="s">
        <v>514</v>
      </c>
      <c r="F110" s="24"/>
      <c r="G110" s="25" t="s">
        <v>33</v>
      </c>
      <c r="H110" s="25" t="s">
        <v>50</v>
      </c>
      <c r="I110" s="25">
        <f t="shared" si="10"/>
        <v>3</v>
      </c>
      <c r="J110" s="25" t="s">
        <v>51</v>
      </c>
      <c r="K110" s="25">
        <f t="shared" si="11"/>
        <v>4</v>
      </c>
      <c r="L110" s="26">
        <f t="shared" si="12"/>
        <v>12</v>
      </c>
      <c r="M110" s="24" t="s">
        <v>515</v>
      </c>
      <c r="N110" s="24"/>
      <c r="O110" s="27"/>
      <c r="P110" s="26" t="s">
        <v>37</v>
      </c>
      <c r="Q110" s="24"/>
      <c r="R110" s="24"/>
      <c r="S110" s="25"/>
      <c r="T110" s="25"/>
      <c r="U110" s="26" t="str">
        <f t="shared" si="13"/>
        <v>High</v>
      </c>
      <c r="V110" s="26"/>
      <c r="W110" s="26">
        <f t="shared" si="14"/>
        <v>3</v>
      </c>
      <c r="X110" s="26">
        <f t="shared" si="15"/>
        <v>4</v>
      </c>
      <c r="Y110" s="26">
        <f t="shared" si="16"/>
        <v>12</v>
      </c>
      <c r="Z110" s="26" t="str">
        <f t="shared" si="17"/>
        <v>High</v>
      </c>
      <c r="AA110" s="26" t="str">
        <f t="shared" si="18"/>
        <v>No Change</v>
      </c>
      <c r="AB110" s="5">
        <f t="shared" si="19"/>
        <v>12.000011000000001</v>
      </c>
    </row>
    <row r="111" spans="1:28" ht="49.5" customHeight="1">
      <c r="A111" s="22">
        <v>106</v>
      </c>
      <c r="B111" s="23" t="s">
        <v>476</v>
      </c>
      <c r="C111" s="23" t="s">
        <v>184</v>
      </c>
      <c r="D111" s="24" t="s">
        <v>516</v>
      </c>
      <c r="E111" s="24" t="s">
        <v>517</v>
      </c>
      <c r="F111" s="24"/>
      <c r="G111" s="25" t="s">
        <v>33</v>
      </c>
      <c r="H111" s="25" t="s">
        <v>44</v>
      </c>
      <c r="I111" s="25">
        <f t="shared" si="10"/>
        <v>4</v>
      </c>
      <c r="J111" s="25" t="s">
        <v>51</v>
      </c>
      <c r="K111" s="25">
        <f t="shared" si="11"/>
        <v>4</v>
      </c>
      <c r="L111" s="26">
        <f t="shared" si="12"/>
        <v>16</v>
      </c>
      <c r="M111" s="24" t="s">
        <v>518</v>
      </c>
      <c r="N111" s="24"/>
      <c r="O111" s="27"/>
      <c r="P111" s="26" t="s">
        <v>501</v>
      </c>
      <c r="Q111" s="24"/>
      <c r="R111" s="24"/>
      <c r="S111" s="25"/>
      <c r="T111" s="25"/>
      <c r="U111" s="26" t="str">
        <f t="shared" si="13"/>
        <v>Critical</v>
      </c>
      <c r="V111" s="26"/>
      <c r="W111" s="26">
        <f t="shared" si="14"/>
        <v>4</v>
      </c>
      <c r="X111" s="26">
        <f t="shared" si="15"/>
        <v>4</v>
      </c>
      <c r="Y111" s="26">
        <f t="shared" si="16"/>
        <v>16</v>
      </c>
      <c r="Z111" s="26" t="str">
        <f t="shared" si="17"/>
        <v>Critical</v>
      </c>
      <c r="AA111" s="26" t="str">
        <f t="shared" si="18"/>
        <v>No Change</v>
      </c>
      <c r="AB111" s="5">
        <f t="shared" si="19"/>
        <v>16.000011099999998</v>
      </c>
    </row>
    <row r="112" spans="1:28" ht="49.5" customHeight="1">
      <c r="A112" s="22">
        <v>107</v>
      </c>
      <c r="B112" s="23" t="s">
        <v>476</v>
      </c>
      <c r="C112" s="23" t="s">
        <v>184</v>
      </c>
      <c r="D112" s="24" t="s">
        <v>519</v>
      </c>
      <c r="E112" s="24" t="s">
        <v>520</v>
      </c>
      <c r="F112" s="24"/>
      <c r="G112" s="25" t="s">
        <v>245</v>
      </c>
      <c r="H112" s="25" t="s">
        <v>34</v>
      </c>
      <c r="I112" s="25">
        <f t="shared" si="10"/>
        <v>5</v>
      </c>
      <c r="J112" s="25" t="s">
        <v>51</v>
      </c>
      <c r="K112" s="25">
        <f t="shared" si="11"/>
        <v>4</v>
      </c>
      <c r="L112" s="26">
        <f t="shared" si="12"/>
        <v>20</v>
      </c>
      <c r="M112" s="24" t="s">
        <v>521</v>
      </c>
      <c r="N112" s="24"/>
      <c r="O112" s="27"/>
      <c r="P112" s="26" t="s">
        <v>501</v>
      </c>
      <c r="Q112" s="24"/>
      <c r="R112" s="24"/>
      <c r="S112" s="25"/>
      <c r="T112" s="25"/>
      <c r="U112" s="26" t="str">
        <f t="shared" si="13"/>
        <v>Critical</v>
      </c>
      <c r="V112" s="26"/>
      <c r="W112" s="26">
        <f t="shared" si="14"/>
        <v>5</v>
      </c>
      <c r="X112" s="26">
        <f t="shared" si="15"/>
        <v>4</v>
      </c>
      <c r="Y112" s="26">
        <f t="shared" si="16"/>
        <v>20</v>
      </c>
      <c r="Z112" s="26" t="str">
        <f t="shared" si="17"/>
        <v>Critical</v>
      </c>
      <c r="AA112" s="26" t="str">
        <f t="shared" si="18"/>
        <v>No Change</v>
      </c>
      <c r="AB112" s="5">
        <f t="shared" si="19"/>
        <v>20.000011199999999</v>
      </c>
    </row>
    <row r="113" spans="1:28" ht="49.5" customHeight="1">
      <c r="A113" s="22">
        <v>108</v>
      </c>
      <c r="B113" s="23" t="s">
        <v>476</v>
      </c>
      <c r="C113" s="23" t="s">
        <v>29</v>
      </c>
      <c r="D113" s="24" t="s">
        <v>522</v>
      </c>
      <c r="E113" s="24" t="s">
        <v>523</v>
      </c>
      <c r="F113" s="24"/>
      <c r="G113" s="25" t="s">
        <v>33</v>
      </c>
      <c r="H113" s="25" t="s">
        <v>34</v>
      </c>
      <c r="I113" s="25">
        <f t="shared" si="10"/>
        <v>5</v>
      </c>
      <c r="J113" s="25" t="s">
        <v>51</v>
      </c>
      <c r="K113" s="25">
        <f t="shared" si="11"/>
        <v>4</v>
      </c>
      <c r="L113" s="26">
        <f t="shared" si="12"/>
        <v>20</v>
      </c>
      <c r="M113" s="24"/>
      <c r="N113" s="24"/>
      <c r="O113" s="27"/>
      <c r="P113" s="26"/>
      <c r="Q113" s="24"/>
      <c r="R113" s="24"/>
      <c r="S113" s="25"/>
      <c r="T113" s="25"/>
      <c r="U113" s="26" t="str">
        <f t="shared" si="13"/>
        <v>Critical</v>
      </c>
      <c r="V113" s="26"/>
      <c r="W113" s="26">
        <f t="shared" si="14"/>
        <v>5</v>
      </c>
      <c r="X113" s="26">
        <f t="shared" si="15"/>
        <v>4</v>
      </c>
      <c r="Y113" s="26">
        <f t="shared" si="16"/>
        <v>20</v>
      </c>
      <c r="Z113" s="26" t="str">
        <f t="shared" si="17"/>
        <v>Critical</v>
      </c>
      <c r="AA113" s="26" t="str">
        <f t="shared" si="18"/>
        <v>No Change</v>
      </c>
      <c r="AB113" s="5">
        <f t="shared" si="19"/>
        <v>20.000011300000001</v>
      </c>
    </row>
    <row r="114" spans="1:28" ht="49.5" customHeight="1">
      <c r="A114" s="22">
        <v>109</v>
      </c>
      <c r="B114" s="23" t="s">
        <v>476</v>
      </c>
      <c r="C114" s="23" t="s">
        <v>61</v>
      </c>
      <c r="D114" s="24" t="s">
        <v>524</v>
      </c>
      <c r="E114" s="24" t="s">
        <v>525</v>
      </c>
      <c r="F114" s="24"/>
      <c r="G114" s="25" t="s">
        <v>245</v>
      </c>
      <c r="H114" s="25" t="s">
        <v>44</v>
      </c>
      <c r="I114" s="25">
        <f t="shared" si="10"/>
        <v>4</v>
      </c>
      <c r="J114" s="25" t="s">
        <v>51</v>
      </c>
      <c r="K114" s="25">
        <f t="shared" si="11"/>
        <v>4</v>
      </c>
      <c r="L114" s="26">
        <f t="shared" si="12"/>
        <v>16</v>
      </c>
      <c r="M114" s="24" t="s">
        <v>526</v>
      </c>
      <c r="N114" s="24"/>
      <c r="O114" s="27"/>
      <c r="P114" s="26"/>
      <c r="Q114" s="24"/>
      <c r="R114" s="24"/>
      <c r="S114" s="25"/>
      <c r="T114" s="25"/>
      <c r="U114" s="26" t="str">
        <f t="shared" si="13"/>
        <v>Critical</v>
      </c>
      <c r="V114" s="26"/>
      <c r="W114" s="26">
        <f t="shared" si="14"/>
        <v>4</v>
      </c>
      <c r="X114" s="26">
        <f t="shared" si="15"/>
        <v>4</v>
      </c>
      <c r="Y114" s="26">
        <f t="shared" si="16"/>
        <v>16</v>
      </c>
      <c r="Z114" s="26" t="str">
        <f t="shared" si="17"/>
        <v>Critical</v>
      </c>
      <c r="AA114" s="26" t="str">
        <f t="shared" si="18"/>
        <v>No Change</v>
      </c>
      <c r="AB114" s="5">
        <f t="shared" si="19"/>
        <v>16.000011400000002</v>
      </c>
    </row>
    <row r="115" spans="1:28" ht="49.5" customHeight="1">
      <c r="A115" s="22">
        <v>110</v>
      </c>
      <c r="B115" s="23" t="s">
        <v>476</v>
      </c>
      <c r="C115" s="23" t="s">
        <v>184</v>
      </c>
      <c r="D115" s="24" t="s">
        <v>527</v>
      </c>
      <c r="E115" s="24" t="s">
        <v>528</v>
      </c>
      <c r="F115" s="24"/>
      <c r="G115" s="25" t="s">
        <v>33</v>
      </c>
      <c r="H115" s="25" t="s">
        <v>34</v>
      </c>
      <c r="I115" s="25">
        <f t="shared" si="10"/>
        <v>5</v>
      </c>
      <c r="J115" s="25" t="s">
        <v>51</v>
      </c>
      <c r="K115" s="25">
        <f t="shared" si="11"/>
        <v>4</v>
      </c>
      <c r="L115" s="26">
        <f t="shared" si="12"/>
        <v>20</v>
      </c>
      <c r="M115" s="24" t="s">
        <v>529</v>
      </c>
      <c r="N115" s="24"/>
      <c r="O115" s="27"/>
      <c r="P115" s="26"/>
      <c r="Q115" s="24"/>
      <c r="R115" s="24"/>
      <c r="S115" s="25"/>
      <c r="T115" s="25"/>
      <c r="U115" s="26" t="str">
        <f t="shared" si="13"/>
        <v>Critical</v>
      </c>
      <c r="V115" s="26"/>
      <c r="W115" s="26">
        <f t="shared" si="14"/>
        <v>5</v>
      </c>
      <c r="X115" s="26">
        <f t="shared" si="15"/>
        <v>4</v>
      </c>
      <c r="Y115" s="26">
        <f t="shared" si="16"/>
        <v>20</v>
      </c>
      <c r="Z115" s="26" t="str">
        <f t="shared" si="17"/>
        <v>Critical</v>
      </c>
      <c r="AA115" s="26" t="str">
        <f t="shared" si="18"/>
        <v>No Change</v>
      </c>
      <c r="AB115" s="5">
        <f t="shared" si="19"/>
        <v>20.000011499999999</v>
      </c>
    </row>
    <row r="116" spans="1:28" ht="49.5" customHeight="1">
      <c r="A116" s="22">
        <v>111</v>
      </c>
      <c r="B116" s="23" t="s">
        <v>476</v>
      </c>
      <c r="C116" s="23" t="s">
        <v>138</v>
      </c>
      <c r="D116" s="24" t="s">
        <v>530</v>
      </c>
      <c r="E116" s="24" t="s">
        <v>531</v>
      </c>
      <c r="F116" s="24"/>
      <c r="G116" s="25" t="s">
        <v>356</v>
      </c>
      <c r="H116" s="25" t="s">
        <v>50</v>
      </c>
      <c r="I116" s="25">
        <f t="shared" si="10"/>
        <v>3</v>
      </c>
      <c r="J116" s="25" t="s">
        <v>35</v>
      </c>
      <c r="K116" s="25">
        <f t="shared" si="11"/>
        <v>5</v>
      </c>
      <c r="L116" s="26">
        <f t="shared" si="12"/>
        <v>15</v>
      </c>
      <c r="M116" s="24" t="s">
        <v>532</v>
      </c>
      <c r="N116" s="24"/>
      <c r="O116" s="27"/>
      <c r="P116" s="26"/>
      <c r="Q116" s="24"/>
      <c r="R116" s="24"/>
      <c r="S116" s="25"/>
      <c r="T116" s="25"/>
      <c r="U116" s="26" t="str">
        <f t="shared" si="13"/>
        <v>High</v>
      </c>
      <c r="V116" s="26"/>
      <c r="W116" s="26">
        <f t="shared" si="14"/>
        <v>3</v>
      </c>
      <c r="X116" s="26">
        <f t="shared" si="15"/>
        <v>5</v>
      </c>
      <c r="Y116" s="26">
        <f t="shared" si="16"/>
        <v>15</v>
      </c>
      <c r="Z116" s="26" t="str">
        <f t="shared" si="17"/>
        <v>High</v>
      </c>
      <c r="AA116" s="26" t="str">
        <f t="shared" si="18"/>
        <v>No Change</v>
      </c>
      <c r="AB116" s="5">
        <f t="shared" si="19"/>
        <v>15.000011600000001</v>
      </c>
    </row>
    <row r="117" spans="1:28" ht="49.5" customHeight="1">
      <c r="A117" s="22">
        <v>112</v>
      </c>
      <c r="B117" s="23" t="s">
        <v>476</v>
      </c>
      <c r="C117" s="23" t="s">
        <v>184</v>
      </c>
      <c r="D117" s="24" t="s">
        <v>533</v>
      </c>
      <c r="E117" s="24" t="s">
        <v>534</v>
      </c>
      <c r="F117" s="24"/>
      <c r="G117" s="25" t="s">
        <v>33</v>
      </c>
      <c r="H117" s="25" t="s">
        <v>50</v>
      </c>
      <c r="I117" s="25">
        <f t="shared" si="10"/>
        <v>3</v>
      </c>
      <c r="J117" s="25" t="s">
        <v>51</v>
      </c>
      <c r="K117" s="25">
        <f t="shared" si="11"/>
        <v>4</v>
      </c>
      <c r="L117" s="26">
        <f t="shared" si="12"/>
        <v>12</v>
      </c>
      <c r="M117" s="24" t="s">
        <v>535</v>
      </c>
      <c r="N117" s="24"/>
      <c r="O117" s="27"/>
      <c r="P117" s="26"/>
      <c r="Q117" s="24"/>
      <c r="R117" s="24"/>
      <c r="S117" s="25"/>
      <c r="T117" s="25"/>
      <c r="U117" s="26" t="str">
        <f t="shared" si="13"/>
        <v>High</v>
      </c>
      <c r="V117" s="26"/>
      <c r="W117" s="26">
        <f t="shared" si="14"/>
        <v>3</v>
      </c>
      <c r="X117" s="26">
        <f t="shared" si="15"/>
        <v>4</v>
      </c>
      <c r="Y117" s="26">
        <f t="shared" si="16"/>
        <v>12</v>
      </c>
      <c r="Z117" s="26" t="str">
        <f t="shared" si="17"/>
        <v>High</v>
      </c>
      <c r="AA117" s="26" t="str">
        <f t="shared" si="18"/>
        <v>No Change</v>
      </c>
      <c r="AB117" s="5">
        <f t="shared" si="19"/>
        <v>12.0000117</v>
      </c>
    </row>
    <row r="118" spans="1:28" ht="49.5" customHeight="1">
      <c r="A118" s="22">
        <v>113</v>
      </c>
      <c r="B118" s="23" t="s">
        <v>476</v>
      </c>
      <c r="C118" s="23" t="s">
        <v>184</v>
      </c>
      <c r="D118" s="24" t="s">
        <v>536</v>
      </c>
      <c r="E118" s="24" t="s">
        <v>537</v>
      </c>
      <c r="F118" s="24"/>
      <c r="G118" s="25" t="s">
        <v>33</v>
      </c>
      <c r="H118" s="25"/>
      <c r="I118" s="25" t="str">
        <f t="shared" si="10"/>
        <v/>
      </c>
      <c r="J118" s="25" t="s">
        <v>51</v>
      </c>
      <c r="K118" s="25">
        <f t="shared" si="11"/>
        <v>4</v>
      </c>
      <c r="L118" s="26" t="str">
        <f t="shared" si="12"/>
        <v/>
      </c>
      <c r="M118" s="24" t="s">
        <v>538</v>
      </c>
      <c r="N118" s="24"/>
      <c r="O118" s="27"/>
      <c r="P118" s="26"/>
      <c r="Q118" s="24"/>
      <c r="R118" s="24"/>
      <c r="S118" s="25"/>
      <c r="T118" s="25"/>
      <c r="U118" s="26" t="str">
        <f t="shared" si="13"/>
        <v/>
      </c>
      <c r="V118" s="26"/>
      <c r="W118" s="26" t="str">
        <f t="shared" si="14"/>
        <v/>
      </c>
      <c r="X118" s="26">
        <f t="shared" si="15"/>
        <v>4</v>
      </c>
      <c r="Y118" s="26" t="str">
        <f t="shared" si="16"/>
        <v/>
      </c>
      <c r="Z118" s="26" t="str">
        <f t="shared" si="17"/>
        <v/>
      </c>
      <c r="AA118" s="26" t="str">
        <f t="shared" si="18"/>
        <v/>
      </c>
      <c r="AB118" s="5" t="str">
        <f t="shared" si="19"/>
        <v/>
      </c>
    </row>
    <row r="119" spans="1:28" ht="49.5" customHeight="1">
      <c r="A119" s="22">
        <v>114</v>
      </c>
      <c r="B119" s="23" t="s">
        <v>476</v>
      </c>
      <c r="C119" s="23" t="s">
        <v>184</v>
      </c>
      <c r="D119" s="29" t="s">
        <v>539</v>
      </c>
      <c r="E119" s="29" t="s">
        <v>540</v>
      </c>
      <c r="F119" s="29"/>
      <c r="G119" s="29" t="s">
        <v>245</v>
      </c>
      <c r="H119" s="29" t="s">
        <v>50</v>
      </c>
      <c r="I119" s="25">
        <f t="shared" si="10"/>
        <v>3</v>
      </c>
      <c r="J119" s="29" t="s">
        <v>51</v>
      </c>
      <c r="K119" s="25">
        <f t="shared" si="11"/>
        <v>4</v>
      </c>
      <c r="L119" s="26">
        <f t="shared" si="12"/>
        <v>12</v>
      </c>
      <c r="M119" s="29" t="s">
        <v>541</v>
      </c>
      <c r="N119" s="29"/>
      <c r="O119" s="29"/>
      <c r="P119" s="29"/>
      <c r="Q119" s="29"/>
      <c r="R119" s="29"/>
      <c r="S119" s="29"/>
      <c r="T119" s="29"/>
      <c r="U119" s="26" t="str">
        <f t="shared" si="13"/>
        <v>High</v>
      </c>
      <c r="V119" s="26"/>
      <c r="W119" s="26">
        <f t="shared" si="14"/>
        <v>3</v>
      </c>
      <c r="X119" s="26">
        <f t="shared" si="15"/>
        <v>4</v>
      </c>
      <c r="Y119" s="26">
        <f t="shared" si="16"/>
        <v>12</v>
      </c>
      <c r="Z119" s="26" t="str">
        <f t="shared" si="17"/>
        <v>High</v>
      </c>
      <c r="AA119" s="26" t="str">
        <f t="shared" si="18"/>
        <v>No Change</v>
      </c>
      <c r="AB119" s="5">
        <f t="shared" si="19"/>
        <v>12.000011900000001</v>
      </c>
    </row>
    <row r="120" spans="1:28" ht="49.5" customHeight="1">
      <c r="A120" s="22">
        <v>115</v>
      </c>
      <c r="B120" s="23" t="s">
        <v>476</v>
      </c>
      <c r="C120" s="23" t="s">
        <v>138</v>
      </c>
      <c r="D120" s="29" t="s">
        <v>542</v>
      </c>
      <c r="E120" s="29" t="s">
        <v>543</v>
      </c>
      <c r="F120" s="29"/>
      <c r="G120" s="29" t="s">
        <v>356</v>
      </c>
      <c r="H120" s="29" t="s">
        <v>50</v>
      </c>
      <c r="I120" s="25">
        <f t="shared" si="10"/>
        <v>3</v>
      </c>
      <c r="J120" s="29" t="s">
        <v>51</v>
      </c>
      <c r="K120" s="25">
        <f t="shared" si="11"/>
        <v>4</v>
      </c>
      <c r="L120" s="26">
        <f t="shared" si="12"/>
        <v>12</v>
      </c>
      <c r="M120" s="29" t="s">
        <v>544</v>
      </c>
      <c r="N120" s="29"/>
      <c r="O120" s="29"/>
      <c r="P120" s="29"/>
      <c r="Q120" s="29"/>
      <c r="R120" s="29"/>
      <c r="S120" s="29"/>
      <c r="T120" s="29"/>
      <c r="U120" s="26" t="str">
        <f t="shared" si="13"/>
        <v>High</v>
      </c>
      <c r="V120" s="26"/>
      <c r="W120" s="26">
        <f t="shared" si="14"/>
        <v>3</v>
      </c>
      <c r="X120" s="26">
        <f t="shared" si="15"/>
        <v>4</v>
      </c>
      <c r="Y120" s="26">
        <f t="shared" si="16"/>
        <v>12</v>
      </c>
      <c r="Z120" s="26" t="str">
        <f t="shared" si="17"/>
        <v>High</v>
      </c>
      <c r="AA120" s="26" t="str">
        <f t="shared" si="18"/>
        <v>No Change</v>
      </c>
      <c r="AB120" s="5">
        <f t="shared" si="19"/>
        <v>12.000012</v>
      </c>
    </row>
    <row r="121" spans="1:28" ht="49.5" customHeight="1">
      <c r="A121" s="22">
        <v>116</v>
      </c>
      <c r="B121" s="23" t="s">
        <v>476</v>
      </c>
      <c r="C121" s="23" t="s">
        <v>184</v>
      </c>
      <c r="D121" s="29" t="s">
        <v>545</v>
      </c>
      <c r="E121" s="29" t="s">
        <v>546</v>
      </c>
      <c r="F121" s="29"/>
      <c r="G121" s="29" t="s">
        <v>43</v>
      </c>
      <c r="H121" s="29" t="s">
        <v>50</v>
      </c>
      <c r="I121" s="25">
        <f t="shared" si="10"/>
        <v>3</v>
      </c>
      <c r="J121" s="29" t="s">
        <v>51</v>
      </c>
      <c r="K121" s="25">
        <f t="shared" si="11"/>
        <v>4</v>
      </c>
      <c r="L121" s="26">
        <f t="shared" si="12"/>
        <v>12</v>
      </c>
      <c r="M121" s="29" t="s">
        <v>547</v>
      </c>
      <c r="N121" s="29"/>
      <c r="O121" s="29"/>
      <c r="P121" s="29"/>
      <c r="Q121" s="29"/>
      <c r="R121" s="29"/>
      <c r="S121" s="29"/>
      <c r="T121" s="29"/>
      <c r="U121" s="26" t="str">
        <f t="shared" si="13"/>
        <v>High</v>
      </c>
      <c r="V121" s="26"/>
      <c r="W121" s="26">
        <f t="shared" si="14"/>
        <v>3</v>
      </c>
      <c r="X121" s="26">
        <f t="shared" si="15"/>
        <v>4</v>
      </c>
      <c r="Y121" s="26">
        <f t="shared" si="16"/>
        <v>12</v>
      </c>
      <c r="Z121" s="26" t="str">
        <f t="shared" si="17"/>
        <v>High</v>
      </c>
      <c r="AA121" s="26" t="str">
        <f t="shared" si="18"/>
        <v>No Change</v>
      </c>
      <c r="AB121" s="5">
        <f t="shared" si="19"/>
        <v>12.000012099999999</v>
      </c>
    </row>
    <row r="122" spans="1:28" ht="49.5" customHeight="1">
      <c r="A122" s="22">
        <v>117</v>
      </c>
      <c r="B122" s="23" t="s">
        <v>476</v>
      </c>
      <c r="C122" s="23" t="s">
        <v>138</v>
      </c>
      <c r="D122" s="29" t="s">
        <v>548</v>
      </c>
      <c r="E122" s="29" t="s">
        <v>549</v>
      </c>
      <c r="F122" s="29"/>
      <c r="G122" s="29" t="s">
        <v>245</v>
      </c>
      <c r="H122" s="29" t="s">
        <v>50</v>
      </c>
      <c r="I122" s="25">
        <f t="shared" si="10"/>
        <v>3</v>
      </c>
      <c r="J122" s="29" t="s">
        <v>51</v>
      </c>
      <c r="K122" s="25">
        <f t="shared" si="11"/>
        <v>4</v>
      </c>
      <c r="L122" s="26">
        <f t="shared" si="12"/>
        <v>12</v>
      </c>
      <c r="M122" s="29" t="s">
        <v>550</v>
      </c>
      <c r="N122" s="29"/>
      <c r="O122" s="29"/>
      <c r="P122" s="29"/>
      <c r="Q122" s="29"/>
      <c r="R122" s="29"/>
      <c r="S122" s="29"/>
      <c r="T122" s="29"/>
      <c r="U122" s="26" t="str">
        <f t="shared" si="13"/>
        <v>High</v>
      </c>
      <c r="V122" s="26"/>
      <c r="W122" s="26">
        <f t="shared" si="14"/>
        <v>3</v>
      </c>
      <c r="X122" s="26">
        <f t="shared" si="15"/>
        <v>4</v>
      </c>
      <c r="Y122" s="26">
        <f t="shared" si="16"/>
        <v>12</v>
      </c>
      <c r="Z122" s="26" t="str">
        <f t="shared" si="17"/>
        <v>High</v>
      </c>
      <c r="AA122" s="26" t="str">
        <f t="shared" si="18"/>
        <v>No Change</v>
      </c>
      <c r="AB122" s="5">
        <f t="shared" si="19"/>
        <v>12.0000122</v>
      </c>
    </row>
    <row r="123" spans="1:28" ht="49.5" customHeight="1">
      <c r="A123" s="22">
        <v>118</v>
      </c>
      <c r="B123" s="23" t="s">
        <v>476</v>
      </c>
      <c r="C123" s="23" t="s">
        <v>29</v>
      </c>
      <c r="D123" s="29" t="s">
        <v>551</v>
      </c>
      <c r="E123" s="29" t="s">
        <v>552</v>
      </c>
      <c r="F123" s="29"/>
      <c r="G123" s="29" t="s">
        <v>33</v>
      </c>
      <c r="H123" s="29" t="s">
        <v>34</v>
      </c>
      <c r="I123" s="25">
        <f t="shared" si="10"/>
        <v>5</v>
      </c>
      <c r="J123" s="29" t="s">
        <v>35</v>
      </c>
      <c r="K123" s="25">
        <f t="shared" si="11"/>
        <v>5</v>
      </c>
      <c r="L123" s="26">
        <f t="shared" si="12"/>
        <v>25</v>
      </c>
      <c r="M123" s="29" t="s">
        <v>553</v>
      </c>
      <c r="N123" s="29"/>
      <c r="O123" s="29"/>
      <c r="P123" s="29"/>
      <c r="Q123" s="29"/>
      <c r="R123" s="29"/>
      <c r="S123" s="29"/>
      <c r="T123" s="29"/>
      <c r="U123" s="26" t="str">
        <f t="shared" si="13"/>
        <v>Critical</v>
      </c>
      <c r="V123" s="26"/>
      <c r="W123" s="26">
        <f t="shared" si="14"/>
        <v>5</v>
      </c>
      <c r="X123" s="26">
        <f t="shared" si="15"/>
        <v>5</v>
      </c>
      <c r="Y123" s="26">
        <f t="shared" si="16"/>
        <v>25</v>
      </c>
      <c r="Z123" s="26" t="str">
        <f t="shared" si="17"/>
        <v>Critical</v>
      </c>
      <c r="AA123" s="26" t="str">
        <f t="shared" si="18"/>
        <v>No Change</v>
      </c>
      <c r="AB123" s="5">
        <f t="shared" si="19"/>
        <v>25.000012300000002</v>
      </c>
    </row>
    <row r="124" spans="1:28" ht="49.5" customHeight="1">
      <c r="A124" s="22">
        <v>119</v>
      </c>
      <c r="B124" s="30" t="s">
        <v>554</v>
      </c>
      <c r="C124" s="30" t="s">
        <v>138</v>
      </c>
      <c r="D124" s="29" t="s">
        <v>555</v>
      </c>
      <c r="E124" s="29" t="s">
        <v>556</v>
      </c>
      <c r="F124" s="29" t="s">
        <v>557</v>
      </c>
      <c r="G124" s="29" t="s">
        <v>356</v>
      </c>
      <c r="H124" s="29" t="s">
        <v>34</v>
      </c>
      <c r="I124" s="25">
        <f t="shared" si="10"/>
        <v>5</v>
      </c>
      <c r="J124" s="29" t="s">
        <v>35</v>
      </c>
      <c r="K124" s="25">
        <f t="shared" si="11"/>
        <v>5</v>
      </c>
      <c r="L124" s="26">
        <f t="shared" si="12"/>
        <v>25</v>
      </c>
      <c r="M124" s="29" t="s">
        <v>558</v>
      </c>
      <c r="N124" s="29"/>
      <c r="O124" s="29"/>
      <c r="P124" s="29"/>
      <c r="Q124" s="29"/>
      <c r="R124" s="29"/>
      <c r="S124" s="29"/>
      <c r="T124" s="29"/>
      <c r="U124" s="26" t="str">
        <f t="shared" si="13"/>
        <v>Critical</v>
      </c>
      <c r="V124" s="26"/>
      <c r="W124" s="26">
        <f t="shared" si="14"/>
        <v>5</v>
      </c>
      <c r="X124" s="26">
        <f t="shared" si="15"/>
        <v>5</v>
      </c>
      <c r="Y124" s="26">
        <f t="shared" si="16"/>
        <v>25</v>
      </c>
      <c r="Z124" s="26" t="str">
        <f t="shared" si="17"/>
        <v>Critical</v>
      </c>
      <c r="AA124" s="26" t="str">
        <f t="shared" si="18"/>
        <v>No Change</v>
      </c>
      <c r="AB124" s="5">
        <f t="shared" si="19"/>
        <v>25.000012399999999</v>
      </c>
    </row>
    <row r="125" spans="1:28" ht="49.5" customHeight="1">
      <c r="A125" s="22">
        <v>120</v>
      </c>
      <c r="B125" s="30" t="s">
        <v>554</v>
      </c>
      <c r="C125" s="30" t="s">
        <v>61</v>
      </c>
      <c r="D125" s="29" t="s">
        <v>559</v>
      </c>
      <c r="E125" s="29" t="s">
        <v>560</v>
      </c>
      <c r="F125" s="29" t="s">
        <v>561</v>
      </c>
      <c r="G125" s="29" t="s">
        <v>33</v>
      </c>
      <c r="H125" s="29" t="s">
        <v>34</v>
      </c>
      <c r="I125" s="25">
        <f t="shared" si="10"/>
        <v>5</v>
      </c>
      <c r="J125" s="29" t="s">
        <v>35</v>
      </c>
      <c r="K125" s="25">
        <f t="shared" si="11"/>
        <v>5</v>
      </c>
      <c r="L125" s="26">
        <f t="shared" si="12"/>
        <v>25</v>
      </c>
      <c r="M125" s="29" t="s">
        <v>562</v>
      </c>
      <c r="N125" s="29"/>
      <c r="O125" s="29"/>
      <c r="P125" s="29"/>
      <c r="Q125" s="29" t="s">
        <v>563</v>
      </c>
      <c r="R125" s="29"/>
      <c r="S125" s="29"/>
      <c r="T125" s="29"/>
      <c r="U125" s="26" t="str">
        <f t="shared" si="13"/>
        <v>Critical</v>
      </c>
      <c r="V125" s="26"/>
      <c r="W125" s="26">
        <f t="shared" si="14"/>
        <v>5</v>
      </c>
      <c r="X125" s="26">
        <f t="shared" si="15"/>
        <v>5</v>
      </c>
      <c r="Y125" s="26">
        <f t="shared" si="16"/>
        <v>25</v>
      </c>
      <c r="Z125" s="26" t="str">
        <f t="shared" si="17"/>
        <v>Critical</v>
      </c>
      <c r="AA125" s="26" t="str">
        <f t="shared" si="18"/>
        <v>No Change</v>
      </c>
      <c r="AB125" s="5">
        <f t="shared" si="19"/>
        <v>25.0000125</v>
      </c>
    </row>
    <row r="126" spans="1:28" ht="49.5" customHeight="1">
      <c r="A126" s="22">
        <v>121</v>
      </c>
      <c r="B126" s="30" t="s">
        <v>554</v>
      </c>
      <c r="C126" s="30" t="s">
        <v>61</v>
      </c>
      <c r="D126" s="29" t="s">
        <v>564</v>
      </c>
      <c r="E126" s="29" t="s">
        <v>565</v>
      </c>
      <c r="F126" s="29" t="s">
        <v>566</v>
      </c>
      <c r="G126" s="29" t="s">
        <v>245</v>
      </c>
      <c r="H126" s="29" t="s">
        <v>108</v>
      </c>
      <c r="I126" s="25">
        <f t="shared" si="10"/>
        <v>2</v>
      </c>
      <c r="J126" s="29" t="s">
        <v>119</v>
      </c>
      <c r="K126" s="25">
        <f t="shared" si="11"/>
        <v>3</v>
      </c>
      <c r="L126" s="26">
        <f t="shared" si="12"/>
        <v>6</v>
      </c>
      <c r="M126" s="29" t="s">
        <v>567</v>
      </c>
      <c r="N126" s="29"/>
      <c r="O126" s="29"/>
      <c r="P126" s="29"/>
      <c r="Q126" s="29" t="s">
        <v>568</v>
      </c>
      <c r="R126" s="29"/>
      <c r="S126" s="29"/>
      <c r="T126" s="29"/>
      <c r="U126" s="26" t="str">
        <f t="shared" si="13"/>
        <v>Medium</v>
      </c>
      <c r="V126" s="26"/>
      <c r="W126" s="26">
        <f t="shared" si="14"/>
        <v>2</v>
      </c>
      <c r="X126" s="26">
        <f t="shared" si="15"/>
        <v>3</v>
      </c>
      <c r="Y126" s="26">
        <f t="shared" si="16"/>
        <v>6</v>
      </c>
      <c r="Z126" s="26" t="str">
        <f t="shared" si="17"/>
        <v>Medium</v>
      </c>
      <c r="AA126" s="26" t="str">
        <f t="shared" si="18"/>
        <v>No Change</v>
      </c>
      <c r="AB126" s="5">
        <f t="shared" si="19"/>
        <v>6.0000125999999998</v>
      </c>
    </row>
    <row r="127" spans="1:28" ht="49.5" customHeight="1">
      <c r="A127" s="22">
        <v>122</v>
      </c>
      <c r="B127" s="30" t="s">
        <v>554</v>
      </c>
      <c r="C127" s="30" t="s">
        <v>61</v>
      </c>
      <c r="D127" s="29" t="s">
        <v>569</v>
      </c>
      <c r="E127" s="29" t="s">
        <v>570</v>
      </c>
      <c r="F127" s="29" t="s">
        <v>571</v>
      </c>
      <c r="G127" s="29" t="s">
        <v>245</v>
      </c>
      <c r="H127" s="29" t="s">
        <v>34</v>
      </c>
      <c r="I127" s="25">
        <f t="shared" si="10"/>
        <v>5</v>
      </c>
      <c r="J127" s="29" t="s">
        <v>35</v>
      </c>
      <c r="K127" s="25">
        <f t="shared" si="11"/>
        <v>5</v>
      </c>
      <c r="L127" s="26">
        <f t="shared" si="12"/>
        <v>25</v>
      </c>
      <c r="M127" s="29" t="s">
        <v>572</v>
      </c>
      <c r="N127" s="29"/>
      <c r="O127" s="29"/>
      <c r="P127" s="29"/>
      <c r="Q127" s="29" t="s">
        <v>573</v>
      </c>
      <c r="R127" s="29"/>
      <c r="S127" s="29"/>
      <c r="T127" s="29"/>
      <c r="U127" s="26" t="str">
        <f t="shared" si="13"/>
        <v>Critical</v>
      </c>
      <c r="V127" s="26"/>
      <c r="W127" s="26">
        <f t="shared" si="14"/>
        <v>5</v>
      </c>
      <c r="X127" s="26">
        <f t="shared" si="15"/>
        <v>5</v>
      </c>
      <c r="Y127" s="26">
        <f t="shared" si="16"/>
        <v>25</v>
      </c>
      <c r="Z127" s="26" t="str">
        <f t="shared" si="17"/>
        <v>Critical</v>
      </c>
      <c r="AA127" s="26" t="str">
        <f t="shared" si="18"/>
        <v>No Change</v>
      </c>
      <c r="AB127" s="5">
        <f t="shared" si="19"/>
        <v>25.000012699999999</v>
      </c>
    </row>
    <row r="128" spans="1:28" ht="49.5" customHeight="1">
      <c r="A128" s="22">
        <v>123</v>
      </c>
      <c r="B128" s="30" t="s">
        <v>554</v>
      </c>
      <c r="C128" s="30" t="s">
        <v>138</v>
      </c>
      <c r="D128" s="29" t="s">
        <v>574</v>
      </c>
      <c r="E128" s="29" t="s">
        <v>575</v>
      </c>
      <c r="F128" s="29" t="s">
        <v>576</v>
      </c>
      <c r="G128" s="29" t="s">
        <v>245</v>
      </c>
      <c r="H128" s="29" t="s">
        <v>108</v>
      </c>
      <c r="I128" s="25">
        <f t="shared" si="10"/>
        <v>2</v>
      </c>
      <c r="J128" s="29" t="s">
        <v>109</v>
      </c>
      <c r="K128" s="25">
        <f t="shared" si="11"/>
        <v>2</v>
      </c>
      <c r="L128" s="26">
        <f t="shared" si="12"/>
        <v>4</v>
      </c>
      <c r="M128" s="29" t="s">
        <v>577</v>
      </c>
      <c r="N128" s="29"/>
      <c r="O128" s="29"/>
      <c r="P128" s="29"/>
      <c r="Q128" s="29" t="s">
        <v>568</v>
      </c>
      <c r="R128" s="29"/>
      <c r="S128" s="29"/>
      <c r="T128" s="29"/>
      <c r="U128" s="26" t="str">
        <f t="shared" si="13"/>
        <v>Low</v>
      </c>
      <c r="V128" s="26"/>
      <c r="W128" s="26">
        <f t="shared" si="14"/>
        <v>2</v>
      </c>
      <c r="X128" s="26">
        <f t="shared" si="15"/>
        <v>2</v>
      </c>
      <c r="Y128" s="26">
        <f t="shared" si="16"/>
        <v>4</v>
      </c>
      <c r="Z128" s="26" t="str">
        <f t="shared" si="17"/>
        <v>Low</v>
      </c>
      <c r="AA128" s="26" t="str">
        <f t="shared" si="18"/>
        <v>No Change</v>
      </c>
      <c r="AB128" s="5">
        <f t="shared" si="19"/>
        <v>4.0000128000000004</v>
      </c>
    </row>
    <row r="129" spans="1:28" ht="49.5" customHeight="1">
      <c r="A129" s="22">
        <v>124</v>
      </c>
      <c r="B129" s="30" t="s">
        <v>554</v>
      </c>
      <c r="C129" s="30" t="s">
        <v>54</v>
      </c>
      <c r="D129" s="29" t="s">
        <v>578</v>
      </c>
      <c r="E129" s="29" t="s">
        <v>579</v>
      </c>
      <c r="F129" s="29" t="s">
        <v>580</v>
      </c>
      <c r="G129" s="29" t="s">
        <v>99</v>
      </c>
      <c r="H129" s="29" t="s">
        <v>108</v>
      </c>
      <c r="I129" s="25">
        <f t="shared" si="10"/>
        <v>2</v>
      </c>
      <c r="J129" s="29" t="s">
        <v>35</v>
      </c>
      <c r="K129" s="25">
        <f t="shared" si="11"/>
        <v>5</v>
      </c>
      <c r="L129" s="26">
        <f t="shared" si="12"/>
        <v>10</v>
      </c>
      <c r="M129" s="29" t="s">
        <v>581</v>
      </c>
      <c r="N129" s="29"/>
      <c r="O129" s="29"/>
      <c r="P129" s="29"/>
      <c r="Q129" s="29" t="s">
        <v>568</v>
      </c>
      <c r="R129" s="29"/>
      <c r="S129" s="29"/>
      <c r="T129" s="29"/>
      <c r="U129" s="26" t="str">
        <f t="shared" si="13"/>
        <v>High</v>
      </c>
      <c r="V129" s="26"/>
      <c r="W129" s="26">
        <f t="shared" si="14"/>
        <v>2</v>
      </c>
      <c r="X129" s="26">
        <f t="shared" si="15"/>
        <v>5</v>
      </c>
      <c r="Y129" s="26">
        <f t="shared" si="16"/>
        <v>10</v>
      </c>
      <c r="Z129" s="26" t="str">
        <f t="shared" si="17"/>
        <v>High</v>
      </c>
      <c r="AA129" s="26" t="str">
        <f t="shared" si="18"/>
        <v>No Change</v>
      </c>
      <c r="AB129" s="5">
        <f t="shared" si="19"/>
        <v>10.0000129</v>
      </c>
    </row>
    <row r="130" spans="1:28" ht="49.5" customHeight="1">
      <c r="A130" s="22">
        <v>125</v>
      </c>
      <c r="B130" s="30" t="s">
        <v>554</v>
      </c>
      <c r="C130" s="30" t="s">
        <v>171</v>
      </c>
      <c r="D130" s="29" t="s">
        <v>582</v>
      </c>
      <c r="E130" s="29" t="s">
        <v>583</v>
      </c>
      <c r="F130" s="29" t="s">
        <v>584</v>
      </c>
      <c r="G130" s="29" t="s">
        <v>99</v>
      </c>
      <c r="H130" s="29" t="s">
        <v>34</v>
      </c>
      <c r="I130" s="25">
        <f t="shared" si="10"/>
        <v>5</v>
      </c>
      <c r="J130" s="29" t="s">
        <v>35</v>
      </c>
      <c r="K130" s="25">
        <f t="shared" si="11"/>
        <v>5</v>
      </c>
      <c r="L130" s="26">
        <f t="shared" si="12"/>
        <v>25</v>
      </c>
      <c r="M130" s="29" t="s">
        <v>585</v>
      </c>
      <c r="N130" s="29"/>
      <c r="O130" s="29"/>
      <c r="P130" s="29"/>
      <c r="Q130" s="29" t="s">
        <v>568</v>
      </c>
      <c r="R130" s="29"/>
      <c r="S130" s="29"/>
      <c r="T130" s="29"/>
      <c r="U130" s="26" t="str">
        <f t="shared" si="13"/>
        <v>Critical</v>
      </c>
      <c r="V130" s="26"/>
      <c r="W130" s="26">
        <f t="shared" si="14"/>
        <v>5</v>
      </c>
      <c r="X130" s="26">
        <f t="shared" si="15"/>
        <v>5</v>
      </c>
      <c r="Y130" s="26">
        <f t="shared" si="16"/>
        <v>25</v>
      </c>
      <c r="Z130" s="26" t="str">
        <f t="shared" si="17"/>
        <v>Critical</v>
      </c>
      <c r="AA130" s="26" t="str">
        <f t="shared" si="18"/>
        <v>No Change</v>
      </c>
      <c r="AB130" s="5">
        <f t="shared" si="19"/>
        <v>25.000012999999999</v>
      </c>
    </row>
    <row r="131" spans="1:28" ht="49.5" customHeight="1">
      <c r="A131" s="22">
        <v>126</v>
      </c>
      <c r="B131" s="30" t="s">
        <v>554</v>
      </c>
      <c r="C131" s="30" t="s">
        <v>29</v>
      </c>
      <c r="D131" s="29" t="s">
        <v>586</v>
      </c>
      <c r="E131" s="29" t="s">
        <v>587</v>
      </c>
      <c r="F131" s="29" t="s">
        <v>588</v>
      </c>
      <c r="G131" s="29" t="s">
        <v>33</v>
      </c>
      <c r="H131" s="29" t="s">
        <v>34</v>
      </c>
      <c r="I131" s="25">
        <f t="shared" si="10"/>
        <v>5</v>
      </c>
      <c r="J131" s="29" t="s">
        <v>35</v>
      </c>
      <c r="K131" s="25">
        <f t="shared" si="11"/>
        <v>5</v>
      </c>
      <c r="L131" s="26">
        <f t="shared" si="12"/>
        <v>25</v>
      </c>
      <c r="M131" s="29" t="s">
        <v>589</v>
      </c>
      <c r="N131" s="29"/>
      <c r="O131" s="29"/>
      <c r="P131" s="29"/>
      <c r="Q131" s="29" t="s">
        <v>568</v>
      </c>
      <c r="R131" s="29"/>
      <c r="S131" s="29"/>
      <c r="T131" s="29"/>
      <c r="U131" s="26" t="str">
        <f t="shared" si="13"/>
        <v>Critical</v>
      </c>
      <c r="V131" s="26"/>
      <c r="W131" s="26">
        <f t="shared" si="14"/>
        <v>5</v>
      </c>
      <c r="X131" s="26">
        <f t="shared" si="15"/>
        <v>5</v>
      </c>
      <c r="Y131" s="26">
        <f t="shared" si="16"/>
        <v>25</v>
      </c>
      <c r="Z131" s="26" t="str">
        <f t="shared" si="17"/>
        <v>Critical</v>
      </c>
      <c r="AA131" s="26" t="str">
        <f t="shared" si="18"/>
        <v>No Change</v>
      </c>
      <c r="AB131" s="5">
        <f t="shared" si="19"/>
        <v>25.0000131</v>
      </c>
    </row>
    <row r="132" spans="1:28" ht="49.5" customHeight="1">
      <c r="A132" s="22">
        <v>127</v>
      </c>
      <c r="B132" s="30" t="s">
        <v>554</v>
      </c>
      <c r="C132" s="30" t="s">
        <v>54</v>
      </c>
      <c r="D132" s="29" t="s">
        <v>590</v>
      </c>
      <c r="E132" s="29" t="s">
        <v>591</v>
      </c>
      <c r="F132" s="29" t="s">
        <v>592</v>
      </c>
      <c r="G132" s="29" t="s">
        <v>33</v>
      </c>
      <c r="H132" s="29" t="s">
        <v>108</v>
      </c>
      <c r="I132" s="25">
        <f t="shared" si="10"/>
        <v>2</v>
      </c>
      <c r="J132" s="29" t="s">
        <v>593</v>
      </c>
      <c r="K132" s="25">
        <f t="shared" si="11"/>
        <v>1</v>
      </c>
      <c r="L132" s="26">
        <f t="shared" si="12"/>
        <v>2</v>
      </c>
      <c r="M132" s="29" t="s">
        <v>594</v>
      </c>
      <c r="N132" s="29"/>
      <c r="O132" s="29"/>
      <c r="P132" s="29"/>
      <c r="Q132" s="29" t="s">
        <v>568</v>
      </c>
      <c r="R132" s="29"/>
      <c r="S132" s="29"/>
      <c r="T132" s="29"/>
      <c r="U132" s="26" t="str">
        <f t="shared" si="13"/>
        <v>Low</v>
      </c>
      <c r="V132" s="26"/>
      <c r="W132" s="26">
        <f t="shared" si="14"/>
        <v>2</v>
      </c>
      <c r="X132" s="26">
        <f t="shared" si="15"/>
        <v>1</v>
      </c>
      <c r="Y132" s="26">
        <f t="shared" si="16"/>
        <v>2</v>
      </c>
      <c r="Z132" s="26" t="str">
        <f t="shared" si="17"/>
        <v>Low</v>
      </c>
      <c r="AA132" s="26" t="str">
        <f t="shared" si="18"/>
        <v>No Change</v>
      </c>
      <c r="AB132" s="5">
        <f t="shared" si="19"/>
        <v>2.0000132000000002</v>
      </c>
    </row>
    <row r="133" spans="1:28" ht="49.5" customHeight="1">
      <c r="A133" s="22">
        <v>128</v>
      </c>
      <c r="B133" s="30" t="s">
        <v>554</v>
      </c>
      <c r="C133" s="30" t="s">
        <v>54</v>
      </c>
      <c r="D133" s="29" t="s">
        <v>595</v>
      </c>
      <c r="E133" s="29" t="s">
        <v>596</v>
      </c>
      <c r="F133" s="29" t="s">
        <v>597</v>
      </c>
      <c r="G133" s="29" t="s">
        <v>356</v>
      </c>
      <c r="H133" s="29" t="s">
        <v>34</v>
      </c>
      <c r="I133" s="25">
        <f t="shared" si="10"/>
        <v>5</v>
      </c>
      <c r="J133" s="29" t="s">
        <v>35</v>
      </c>
      <c r="K133" s="25">
        <f t="shared" si="11"/>
        <v>5</v>
      </c>
      <c r="L133" s="26">
        <f t="shared" si="12"/>
        <v>25</v>
      </c>
      <c r="M133" s="29" t="s">
        <v>598</v>
      </c>
      <c r="N133" s="29"/>
      <c r="O133" s="29"/>
      <c r="P133" s="29"/>
      <c r="Q133" s="29" t="s">
        <v>568</v>
      </c>
      <c r="R133" s="29"/>
      <c r="S133" s="29"/>
      <c r="T133" s="29"/>
      <c r="U133" s="26" t="str">
        <f t="shared" si="13"/>
        <v>Critical</v>
      </c>
      <c r="V133" s="26"/>
      <c r="W133" s="26">
        <f t="shared" si="14"/>
        <v>5</v>
      </c>
      <c r="X133" s="26">
        <f t="shared" si="15"/>
        <v>5</v>
      </c>
      <c r="Y133" s="26">
        <f t="shared" si="16"/>
        <v>25</v>
      </c>
      <c r="Z133" s="26" t="str">
        <f t="shared" si="17"/>
        <v>Critical</v>
      </c>
      <c r="AA133" s="26" t="str">
        <f t="shared" si="18"/>
        <v>No Change</v>
      </c>
      <c r="AB133" s="5">
        <f t="shared" si="19"/>
        <v>25.000013299999999</v>
      </c>
    </row>
    <row r="134" spans="1:28" ht="49.5" customHeight="1">
      <c r="A134" s="22">
        <v>129</v>
      </c>
      <c r="B134" s="30" t="s">
        <v>554</v>
      </c>
      <c r="C134" s="30" t="s">
        <v>73</v>
      </c>
      <c r="D134" s="29" t="s">
        <v>599</v>
      </c>
      <c r="E134" s="29" t="s">
        <v>600</v>
      </c>
      <c r="F134" s="29" t="s">
        <v>601</v>
      </c>
      <c r="G134" s="29" t="s">
        <v>70</v>
      </c>
      <c r="H134" s="29" t="s">
        <v>34</v>
      </c>
      <c r="I134" s="25">
        <f t="shared" ref="I134:I197" si="20">IFERROR(IF(H134="Unlikely",1,IF(H134="Possible",2,IF(H134="Likely",3,IF(H134="Almost Certain",4,IF(H134="Certain",5,""))))),"")</f>
        <v>5</v>
      </c>
      <c r="J134" s="29" t="s">
        <v>35</v>
      </c>
      <c r="K134" s="25">
        <f t="shared" ref="K134:K197" si="21">IFERROR(IF(J134="Negligible",1,IF(J134="Minor",2,IF(J134="Moderate",3,IF(J134="Major",4,IF(J134="Critical",5,""))))),"")</f>
        <v>5</v>
      </c>
      <c r="L134" s="26">
        <f t="shared" ref="L134:L197" si="22">IF(OR(I134="",K134=""),"",I134*K134)</f>
        <v>25</v>
      </c>
      <c r="M134" s="29" t="s">
        <v>602</v>
      </c>
      <c r="N134" s="29"/>
      <c r="O134" s="29"/>
      <c r="P134" s="29"/>
      <c r="Q134" s="29" t="s">
        <v>568</v>
      </c>
      <c r="R134" s="29"/>
      <c r="S134" s="29"/>
      <c r="T134" s="29"/>
      <c r="U134" s="26" t="str">
        <f t="shared" ref="U134:U197" si="23">IF(L134="","",IF(L134&lt;=4,"Low",IF(L134&lt;=9,"Medium",IF(L134&lt;=15,"High","Critical"))))</f>
        <v>Critical</v>
      </c>
      <c r="V134" s="26"/>
      <c r="W134" s="26">
        <f t="shared" ref="W134:W197" si="24">IF(I134="","",MAX(1,I134-(IF(V134="Limited",1,IF(V134="Partial",2,IF(V134="Substantial",3,IF(V134="Highly Effective",4,0)))))))</f>
        <v>5</v>
      </c>
      <c r="X134" s="26">
        <f t="shared" ref="X134:X197" si="25">IF(K134="","",MAX(1,K134-ROUNDDOWN((IF(V134="Limited",1,IF(V134="Partial",2,IF(V134="Substantial",3,IF(V134="Highly Effective",4,0)))))/2,0)))</f>
        <v>5</v>
      </c>
      <c r="Y134" s="26">
        <f t="shared" ref="Y134:Y197" si="26">IF(OR(W134="",X134=""),"",W134*X134)</f>
        <v>25</v>
      </c>
      <c r="Z134" s="26" t="str">
        <f t="shared" ref="Z134:Z197" si="27">IF(Y134="","",IF(Y134&lt;=4,"Low",IF(Y134&lt;=9,"Medium",IF(Y134&lt;=15,"High","Critical"))))</f>
        <v>Critical</v>
      </c>
      <c r="AA134" s="26" t="str">
        <f t="shared" ref="AA134:AA197" si="28">IF(OR(L134="",Y134=""),"",IF(Y134&lt;L134,"Reduced by "&amp;(L134-Y134)&amp;" pts",IF(Y134=L134,"No Change","Increased by "&amp;(Y134-L134)&amp;" pts")))</f>
        <v>No Change</v>
      </c>
      <c r="AB134" s="5">
        <f t="shared" ref="AB134:AB197" si="29">IF(Y134="","",Y134+(ROW()/10000000))</f>
        <v>25.0000134</v>
      </c>
    </row>
    <row r="135" spans="1:28" ht="49.5" customHeight="1">
      <c r="A135" s="22">
        <v>130</v>
      </c>
      <c r="B135" s="30" t="s">
        <v>554</v>
      </c>
      <c r="C135" s="30" t="s">
        <v>73</v>
      </c>
      <c r="D135" s="29" t="s">
        <v>603</v>
      </c>
      <c r="E135" s="29" t="s">
        <v>604</v>
      </c>
      <c r="F135" s="29" t="s">
        <v>605</v>
      </c>
      <c r="G135" s="29" t="s">
        <v>70</v>
      </c>
      <c r="H135" s="29" t="s">
        <v>34</v>
      </c>
      <c r="I135" s="25">
        <f t="shared" si="20"/>
        <v>5</v>
      </c>
      <c r="J135" s="29" t="s">
        <v>35</v>
      </c>
      <c r="K135" s="25">
        <f t="shared" si="21"/>
        <v>5</v>
      </c>
      <c r="L135" s="26">
        <f t="shared" si="22"/>
        <v>25</v>
      </c>
      <c r="M135" s="29" t="s">
        <v>606</v>
      </c>
      <c r="N135" s="29"/>
      <c r="O135" s="29"/>
      <c r="P135" s="29"/>
      <c r="Q135" s="29" t="s">
        <v>607</v>
      </c>
      <c r="R135" s="29"/>
      <c r="S135" s="29"/>
      <c r="T135" s="29"/>
      <c r="U135" s="26" t="str">
        <f t="shared" si="23"/>
        <v>Critical</v>
      </c>
      <c r="V135" s="26"/>
      <c r="W135" s="26">
        <f t="shared" si="24"/>
        <v>5</v>
      </c>
      <c r="X135" s="26">
        <f t="shared" si="25"/>
        <v>5</v>
      </c>
      <c r="Y135" s="26">
        <f t="shared" si="26"/>
        <v>25</v>
      </c>
      <c r="Z135" s="26" t="str">
        <f t="shared" si="27"/>
        <v>Critical</v>
      </c>
      <c r="AA135" s="26" t="str">
        <f t="shared" si="28"/>
        <v>No Change</v>
      </c>
      <c r="AB135" s="5">
        <f t="shared" si="29"/>
        <v>25.000013500000001</v>
      </c>
    </row>
    <row r="136" spans="1:28" ht="49.5" customHeight="1">
      <c r="A136" s="22">
        <v>131</v>
      </c>
      <c r="B136" s="30" t="s">
        <v>554</v>
      </c>
      <c r="C136" s="30" t="s">
        <v>171</v>
      </c>
      <c r="D136" s="29" t="s">
        <v>608</v>
      </c>
      <c r="E136" s="29" t="s">
        <v>609</v>
      </c>
      <c r="F136" s="29" t="s">
        <v>610</v>
      </c>
      <c r="G136" s="29" t="s">
        <v>58</v>
      </c>
      <c r="H136" s="29" t="s">
        <v>108</v>
      </c>
      <c r="I136" s="25">
        <f t="shared" si="20"/>
        <v>2</v>
      </c>
      <c r="J136" s="29" t="s">
        <v>119</v>
      </c>
      <c r="K136" s="25">
        <f t="shared" si="21"/>
        <v>3</v>
      </c>
      <c r="L136" s="26">
        <f t="shared" si="22"/>
        <v>6</v>
      </c>
      <c r="M136" s="29" t="s">
        <v>611</v>
      </c>
      <c r="N136" s="29"/>
      <c r="O136" s="29"/>
      <c r="P136" s="29"/>
      <c r="Q136" s="29" t="s">
        <v>607</v>
      </c>
      <c r="R136" s="29"/>
      <c r="S136" s="29"/>
      <c r="T136" s="29"/>
      <c r="U136" s="26" t="str">
        <f t="shared" si="23"/>
        <v>Medium</v>
      </c>
      <c r="V136" s="26"/>
      <c r="W136" s="26">
        <f t="shared" si="24"/>
        <v>2</v>
      </c>
      <c r="X136" s="26">
        <f t="shared" si="25"/>
        <v>3</v>
      </c>
      <c r="Y136" s="26">
        <f t="shared" si="26"/>
        <v>6</v>
      </c>
      <c r="Z136" s="26" t="str">
        <f t="shared" si="27"/>
        <v>Medium</v>
      </c>
      <c r="AA136" s="26" t="str">
        <f t="shared" si="28"/>
        <v>No Change</v>
      </c>
      <c r="AB136" s="5">
        <f t="shared" si="29"/>
        <v>6.0000135999999999</v>
      </c>
    </row>
    <row r="137" spans="1:28" ht="49.5" customHeight="1">
      <c r="A137" s="22">
        <v>132</v>
      </c>
      <c r="B137" s="30" t="s">
        <v>554</v>
      </c>
      <c r="C137" s="30" t="s">
        <v>73</v>
      </c>
      <c r="D137" s="29" t="s">
        <v>612</v>
      </c>
      <c r="E137" s="29" t="s">
        <v>613</v>
      </c>
      <c r="F137" s="29" t="s">
        <v>614</v>
      </c>
      <c r="G137" s="29" t="s">
        <v>58</v>
      </c>
      <c r="H137" s="29" t="s">
        <v>50</v>
      </c>
      <c r="I137" s="25">
        <f t="shared" si="20"/>
        <v>3</v>
      </c>
      <c r="J137" s="29" t="s">
        <v>119</v>
      </c>
      <c r="K137" s="25">
        <f t="shared" si="21"/>
        <v>3</v>
      </c>
      <c r="L137" s="26">
        <f t="shared" si="22"/>
        <v>9</v>
      </c>
      <c r="M137" s="29" t="s">
        <v>615</v>
      </c>
      <c r="N137" s="29"/>
      <c r="O137" s="29"/>
      <c r="P137" s="29"/>
      <c r="Q137" s="29" t="s">
        <v>607</v>
      </c>
      <c r="R137" s="29"/>
      <c r="S137" s="29"/>
      <c r="T137" s="29"/>
      <c r="U137" s="26" t="str">
        <f t="shared" si="23"/>
        <v>Medium</v>
      </c>
      <c r="V137" s="26"/>
      <c r="W137" s="26">
        <f t="shared" si="24"/>
        <v>3</v>
      </c>
      <c r="X137" s="26">
        <f t="shared" si="25"/>
        <v>3</v>
      </c>
      <c r="Y137" s="26">
        <f t="shared" si="26"/>
        <v>9</v>
      </c>
      <c r="Z137" s="26" t="str">
        <f t="shared" si="27"/>
        <v>Medium</v>
      </c>
      <c r="AA137" s="26" t="str">
        <f t="shared" si="28"/>
        <v>No Change</v>
      </c>
      <c r="AB137" s="5">
        <f t="shared" si="29"/>
        <v>9.0000137000000002</v>
      </c>
    </row>
    <row r="138" spans="1:28" ht="49.5" customHeight="1">
      <c r="A138" s="22">
        <v>133</v>
      </c>
      <c r="B138" s="30" t="s">
        <v>554</v>
      </c>
      <c r="C138" s="30" t="s">
        <v>73</v>
      </c>
      <c r="D138" s="29" t="s">
        <v>616</v>
      </c>
      <c r="E138" s="29" t="s">
        <v>617</v>
      </c>
      <c r="F138" s="29" t="s">
        <v>618</v>
      </c>
      <c r="G138" s="29" t="s">
        <v>33</v>
      </c>
      <c r="H138" s="29" t="s">
        <v>108</v>
      </c>
      <c r="I138" s="25">
        <f t="shared" si="20"/>
        <v>2</v>
      </c>
      <c r="J138" s="29" t="s">
        <v>119</v>
      </c>
      <c r="K138" s="25">
        <f t="shared" si="21"/>
        <v>3</v>
      </c>
      <c r="L138" s="26">
        <f t="shared" si="22"/>
        <v>6</v>
      </c>
      <c r="M138" s="29" t="s">
        <v>619</v>
      </c>
      <c r="N138" s="29"/>
      <c r="O138" s="29"/>
      <c r="P138" s="29"/>
      <c r="Q138" s="29" t="s">
        <v>607</v>
      </c>
      <c r="R138" s="29"/>
      <c r="S138" s="29"/>
      <c r="T138" s="29"/>
      <c r="U138" s="26" t="str">
        <f t="shared" si="23"/>
        <v>Medium</v>
      </c>
      <c r="V138" s="26"/>
      <c r="W138" s="26">
        <f t="shared" si="24"/>
        <v>2</v>
      </c>
      <c r="X138" s="26">
        <f t="shared" si="25"/>
        <v>3</v>
      </c>
      <c r="Y138" s="26">
        <f t="shared" si="26"/>
        <v>6</v>
      </c>
      <c r="Z138" s="26" t="str">
        <f t="shared" si="27"/>
        <v>Medium</v>
      </c>
      <c r="AA138" s="26" t="str">
        <f t="shared" si="28"/>
        <v>No Change</v>
      </c>
      <c r="AB138" s="5">
        <f t="shared" si="29"/>
        <v>6.0000137999999996</v>
      </c>
    </row>
    <row r="139" spans="1:28" ht="49.5" customHeight="1">
      <c r="A139" s="22">
        <v>134</v>
      </c>
      <c r="B139" s="30" t="s">
        <v>554</v>
      </c>
      <c r="C139" s="30" t="s">
        <v>73</v>
      </c>
      <c r="D139" s="29" t="s">
        <v>620</v>
      </c>
      <c r="E139" s="29" t="s">
        <v>621</v>
      </c>
      <c r="F139" s="29" t="s">
        <v>622</v>
      </c>
      <c r="G139" s="29" t="s">
        <v>245</v>
      </c>
      <c r="H139" s="29" t="s">
        <v>34</v>
      </c>
      <c r="I139" s="25">
        <f t="shared" si="20"/>
        <v>5</v>
      </c>
      <c r="J139" s="29" t="s">
        <v>35</v>
      </c>
      <c r="K139" s="25">
        <f t="shared" si="21"/>
        <v>5</v>
      </c>
      <c r="L139" s="26">
        <f t="shared" si="22"/>
        <v>25</v>
      </c>
      <c r="M139" s="29" t="s">
        <v>623</v>
      </c>
      <c r="N139" s="29"/>
      <c r="O139" s="29"/>
      <c r="P139" s="29"/>
      <c r="Q139" s="29" t="s">
        <v>607</v>
      </c>
      <c r="R139" s="29"/>
      <c r="S139" s="29"/>
      <c r="T139" s="29"/>
      <c r="U139" s="26" t="str">
        <f t="shared" si="23"/>
        <v>Critical</v>
      </c>
      <c r="V139" s="26"/>
      <c r="W139" s="26">
        <f t="shared" si="24"/>
        <v>5</v>
      </c>
      <c r="X139" s="26">
        <f t="shared" si="25"/>
        <v>5</v>
      </c>
      <c r="Y139" s="26">
        <f t="shared" si="26"/>
        <v>25</v>
      </c>
      <c r="Z139" s="26" t="str">
        <f t="shared" si="27"/>
        <v>Critical</v>
      </c>
      <c r="AA139" s="26" t="str">
        <f t="shared" si="28"/>
        <v>No Change</v>
      </c>
      <c r="AB139" s="5">
        <f t="shared" si="29"/>
        <v>25.000013899999999</v>
      </c>
    </row>
    <row r="140" spans="1:28" ht="49.5" customHeight="1">
      <c r="A140" s="22">
        <v>135</v>
      </c>
      <c r="B140" s="30" t="s">
        <v>554</v>
      </c>
      <c r="C140" s="30" t="s">
        <v>39</v>
      </c>
      <c r="D140" s="29" t="s">
        <v>624</v>
      </c>
      <c r="E140" s="29" t="s">
        <v>625</v>
      </c>
      <c r="F140" s="29" t="s">
        <v>626</v>
      </c>
      <c r="G140" s="29" t="s">
        <v>245</v>
      </c>
      <c r="H140" s="29" t="s">
        <v>34</v>
      </c>
      <c r="I140" s="25">
        <f t="shared" si="20"/>
        <v>5</v>
      </c>
      <c r="J140" s="29" t="s">
        <v>35</v>
      </c>
      <c r="K140" s="25">
        <f t="shared" si="21"/>
        <v>5</v>
      </c>
      <c r="L140" s="26">
        <f t="shared" si="22"/>
        <v>25</v>
      </c>
      <c r="M140" s="29" t="s">
        <v>627</v>
      </c>
      <c r="N140" s="29"/>
      <c r="O140" s="29"/>
      <c r="P140" s="29"/>
      <c r="Q140" s="29" t="s">
        <v>607</v>
      </c>
      <c r="R140" s="29"/>
      <c r="S140" s="29"/>
      <c r="T140" s="29"/>
      <c r="U140" s="26" t="str">
        <f t="shared" si="23"/>
        <v>Critical</v>
      </c>
      <c r="V140" s="26"/>
      <c r="W140" s="26">
        <f t="shared" si="24"/>
        <v>5</v>
      </c>
      <c r="X140" s="26">
        <f t="shared" si="25"/>
        <v>5</v>
      </c>
      <c r="Y140" s="26">
        <f t="shared" si="26"/>
        <v>25</v>
      </c>
      <c r="Z140" s="26" t="str">
        <f t="shared" si="27"/>
        <v>Critical</v>
      </c>
      <c r="AA140" s="26" t="str">
        <f t="shared" si="28"/>
        <v>No Change</v>
      </c>
      <c r="AB140" s="5">
        <f t="shared" si="29"/>
        <v>25.000014</v>
      </c>
    </row>
    <row r="141" spans="1:28" ht="49.5" customHeight="1">
      <c r="A141" s="22">
        <v>136</v>
      </c>
      <c r="B141" s="30" t="s">
        <v>554</v>
      </c>
      <c r="C141" s="30" t="s">
        <v>29</v>
      </c>
      <c r="D141" s="29" t="s">
        <v>628</v>
      </c>
      <c r="E141" s="29" t="s">
        <v>629</v>
      </c>
      <c r="F141" s="29" t="s">
        <v>630</v>
      </c>
      <c r="G141" s="29" t="s">
        <v>33</v>
      </c>
      <c r="H141" s="29" t="s">
        <v>34</v>
      </c>
      <c r="I141" s="25">
        <f t="shared" si="20"/>
        <v>5</v>
      </c>
      <c r="J141" s="29" t="s">
        <v>35</v>
      </c>
      <c r="K141" s="25">
        <f t="shared" si="21"/>
        <v>5</v>
      </c>
      <c r="L141" s="26">
        <f t="shared" si="22"/>
        <v>25</v>
      </c>
      <c r="M141" s="29" t="s">
        <v>631</v>
      </c>
      <c r="N141" s="29"/>
      <c r="O141" s="29"/>
      <c r="P141" s="29"/>
      <c r="Q141" s="29" t="s">
        <v>607</v>
      </c>
      <c r="R141" s="29"/>
      <c r="S141" s="29"/>
      <c r="T141" s="29"/>
      <c r="U141" s="26" t="str">
        <f t="shared" si="23"/>
        <v>Critical</v>
      </c>
      <c r="V141" s="26"/>
      <c r="W141" s="26">
        <f t="shared" si="24"/>
        <v>5</v>
      </c>
      <c r="X141" s="26">
        <f t="shared" si="25"/>
        <v>5</v>
      </c>
      <c r="Y141" s="26">
        <f t="shared" si="26"/>
        <v>25</v>
      </c>
      <c r="Z141" s="26" t="str">
        <f t="shared" si="27"/>
        <v>Critical</v>
      </c>
      <c r="AA141" s="26" t="str">
        <f t="shared" si="28"/>
        <v>No Change</v>
      </c>
      <c r="AB141" s="5">
        <f t="shared" si="29"/>
        <v>25.000014100000001</v>
      </c>
    </row>
    <row r="142" spans="1:28" ht="49.5" customHeight="1">
      <c r="A142" s="22">
        <v>137</v>
      </c>
      <c r="B142" s="30" t="s">
        <v>554</v>
      </c>
      <c r="C142" s="30" t="s">
        <v>73</v>
      </c>
      <c r="D142" s="29" t="s">
        <v>632</v>
      </c>
      <c r="E142" s="29" t="s">
        <v>633</v>
      </c>
      <c r="F142" s="29" t="s">
        <v>634</v>
      </c>
      <c r="G142" s="29" t="s">
        <v>58</v>
      </c>
      <c r="H142" s="29" t="s">
        <v>108</v>
      </c>
      <c r="I142" s="25">
        <f t="shared" si="20"/>
        <v>2</v>
      </c>
      <c r="J142" s="29" t="s">
        <v>119</v>
      </c>
      <c r="K142" s="25">
        <f t="shared" si="21"/>
        <v>3</v>
      </c>
      <c r="L142" s="26">
        <f t="shared" si="22"/>
        <v>6</v>
      </c>
      <c r="M142" s="29" t="s">
        <v>635</v>
      </c>
      <c r="N142" s="29"/>
      <c r="O142" s="29"/>
      <c r="P142" s="29"/>
      <c r="Q142" s="29" t="s">
        <v>607</v>
      </c>
      <c r="R142" s="29"/>
      <c r="S142" s="29"/>
      <c r="T142" s="29"/>
      <c r="U142" s="26" t="str">
        <f t="shared" si="23"/>
        <v>Medium</v>
      </c>
      <c r="V142" s="26"/>
      <c r="W142" s="26">
        <f t="shared" si="24"/>
        <v>2</v>
      </c>
      <c r="X142" s="26">
        <f t="shared" si="25"/>
        <v>3</v>
      </c>
      <c r="Y142" s="26">
        <f t="shared" si="26"/>
        <v>6</v>
      </c>
      <c r="Z142" s="26" t="str">
        <f t="shared" si="27"/>
        <v>Medium</v>
      </c>
      <c r="AA142" s="26" t="str">
        <f t="shared" si="28"/>
        <v>No Change</v>
      </c>
      <c r="AB142" s="5">
        <f t="shared" si="29"/>
        <v>6.0000141999999999</v>
      </c>
    </row>
    <row r="143" spans="1:28" ht="49.5" customHeight="1">
      <c r="A143" s="22">
        <v>138</v>
      </c>
      <c r="B143" s="30" t="s">
        <v>554</v>
      </c>
      <c r="C143" s="30" t="s">
        <v>39</v>
      </c>
      <c r="D143" s="29" t="s">
        <v>636</v>
      </c>
      <c r="E143" s="29" t="s">
        <v>637</v>
      </c>
      <c r="F143" s="29" t="s">
        <v>638</v>
      </c>
      <c r="G143" s="29" t="s">
        <v>58</v>
      </c>
      <c r="H143" s="29" t="s">
        <v>34</v>
      </c>
      <c r="I143" s="25">
        <f t="shared" si="20"/>
        <v>5</v>
      </c>
      <c r="J143" s="29" t="s">
        <v>35</v>
      </c>
      <c r="K143" s="25">
        <f t="shared" si="21"/>
        <v>5</v>
      </c>
      <c r="L143" s="26">
        <f t="shared" si="22"/>
        <v>25</v>
      </c>
      <c r="M143" s="29" t="s">
        <v>639</v>
      </c>
      <c r="N143" s="29"/>
      <c r="O143" s="29"/>
      <c r="P143" s="29"/>
      <c r="Q143" s="29" t="s">
        <v>607</v>
      </c>
      <c r="R143" s="29"/>
      <c r="S143" s="29"/>
      <c r="T143" s="29"/>
      <c r="U143" s="26" t="str">
        <f t="shared" si="23"/>
        <v>Critical</v>
      </c>
      <c r="V143" s="26"/>
      <c r="W143" s="26">
        <f t="shared" si="24"/>
        <v>5</v>
      </c>
      <c r="X143" s="26">
        <f t="shared" si="25"/>
        <v>5</v>
      </c>
      <c r="Y143" s="26">
        <f t="shared" si="26"/>
        <v>25</v>
      </c>
      <c r="Z143" s="26" t="str">
        <f t="shared" si="27"/>
        <v>Critical</v>
      </c>
      <c r="AA143" s="26" t="str">
        <f t="shared" si="28"/>
        <v>No Change</v>
      </c>
      <c r="AB143" s="5">
        <f t="shared" si="29"/>
        <v>25.0000143</v>
      </c>
    </row>
    <row r="144" spans="1:28" ht="49.5" customHeight="1">
      <c r="A144" s="22">
        <v>139</v>
      </c>
      <c r="B144" s="30" t="s">
        <v>554</v>
      </c>
      <c r="C144" s="30" t="s">
        <v>39</v>
      </c>
      <c r="D144" s="29" t="s">
        <v>640</v>
      </c>
      <c r="E144" s="29" t="s">
        <v>641</v>
      </c>
      <c r="F144" s="29" t="s">
        <v>642</v>
      </c>
      <c r="G144" s="29" t="s">
        <v>70</v>
      </c>
      <c r="H144" s="29" t="s">
        <v>34</v>
      </c>
      <c r="I144" s="25">
        <f t="shared" si="20"/>
        <v>5</v>
      </c>
      <c r="J144" s="29" t="s">
        <v>35</v>
      </c>
      <c r="K144" s="25">
        <f t="shared" si="21"/>
        <v>5</v>
      </c>
      <c r="L144" s="26">
        <f t="shared" si="22"/>
        <v>25</v>
      </c>
      <c r="M144" s="29" t="s">
        <v>643</v>
      </c>
      <c r="N144" s="29"/>
      <c r="O144" s="29"/>
      <c r="P144" s="29"/>
      <c r="Q144" s="29" t="s">
        <v>644</v>
      </c>
      <c r="R144" s="29"/>
      <c r="S144" s="29"/>
      <c r="T144" s="29"/>
      <c r="U144" s="26" t="str">
        <f t="shared" si="23"/>
        <v>Critical</v>
      </c>
      <c r="V144" s="26"/>
      <c r="W144" s="26">
        <f t="shared" si="24"/>
        <v>5</v>
      </c>
      <c r="X144" s="26">
        <f t="shared" si="25"/>
        <v>5</v>
      </c>
      <c r="Y144" s="26">
        <f t="shared" si="26"/>
        <v>25</v>
      </c>
      <c r="Z144" s="26" t="str">
        <f t="shared" si="27"/>
        <v>Critical</v>
      </c>
      <c r="AA144" s="26" t="str">
        <f t="shared" si="28"/>
        <v>No Change</v>
      </c>
      <c r="AB144" s="5">
        <f t="shared" si="29"/>
        <v>25.000014400000001</v>
      </c>
    </row>
    <row r="145" spans="1:28" ht="49.5" customHeight="1">
      <c r="A145" s="22">
        <v>140</v>
      </c>
      <c r="B145" s="30" t="s">
        <v>554</v>
      </c>
      <c r="C145" s="30" t="s">
        <v>39</v>
      </c>
      <c r="D145" s="29" t="s">
        <v>645</v>
      </c>
      <c r="E145" s="29" t="s">
        <v>646</v>
      </c>
      <c r="F145" s="29" t="s">
        <v>647</v>
      </c>
      <c r="G145" s="29" t="s">
        <v>43</v>
      </c>
      <c r="H145" s="29" t="s">
        <v>34</v>
      </c>
      <c r="I145" s="25">
        <f t="shared" si="20"/>
        <v>5</v>
      </c>
      <c r="J145" s="29" t="s">
        <v>35</v>
      </c>
      <c r="K145" s="25">
        <f t="shared" si="21"/>
        <v>5</v>
      </c>
      <c r="L145" s="26">
        <f t="shared" si="22"/>
        <v>25</v>
      </c>
      <c r="M145" s="29" t="s">
        <v>648</v>
      </c>
      <c r="N145" s="29"/>
      <c r="O145" s="29"/>
      <c r="P145" s="29"/>
      <c r="Q145" s="29" t="s">
        <v>649</v>
      </c>
      <c r="R145" s="29"/>
      <c r="S145" s="29"/>
      <c r="T145" s="29"/>
      <c r="U145" s="26" t="str">
        <f t="shared" si="23"/>
        <v>Critical</v>
      </c>
      <c r="V145" s="26"/>
      <c r="W145" s="26">
        <f t="shared" si="24"/>
        <v>5</v>
      </c>
      <c r="X145" s="26">
        <f t="shared" si="25"/>
        <v>5</v>
      </c>
      <c r="Y145" s="26">
        <f t="shared" si="26"/>
        <v>25</v>
      </c>
      <c r="Z145" s="26" t="str">
        <f t="shared" si="27"/>
        <v>Critical</v>
      </c>
      <c r="AA145" s="26" t="str">
        <f t="shared" si="28"/>
        <v>No Change</v>
      </c>
      <c r="AB145" s="5">
        <f t="shared" si="29"/>
        <v>25.000014499999999</v>
      </c>
    </row>
    <row r="146" spans="1:28" ht="49.5" customHeight="1">
      <c r="A146" s="22">
        <v>141</v>
      </c>
      <c r="B146" s="30" t="s">
        <v>554</v>
      </c>
      <c r="C146" s="30" t="s">
        <v>39</v>
      </c>
      <c r="D146" s="29" t="s">
        <v>650</v>
      </c>
      <c r="E146" s="29" t="s">
        <v>651</v>
      </c>
      <c r="F146" s="29" t="s">
        <v>652</v>
      </c>
      <c r="G146" s="29" t="s">
        <v>58</v>
      </c>
      <c r="H146" s="29" t="s">
        <v>34</v>
      </c>
      <c r="I146" s="25">
        <f t="shared" si="20"/>
        <v>5</v>
      </c>
      <c r="J146" s="29" t="s">
        <v>35</v>
      </c>
      <c r="K146" s="25">
        <f t="shared" si="21"/>
        <v>5</v>
      </c>
      <c r="L146" s="26">
        <f t="shared" si="22"/>
        <v>25</v>
      </c>
      <c r="M146" s="29" t="s">
        <v>653</v>
      </c>
      <c r="N146" s="29"/>
      <c r="O146" s="29"/>
      <c r="P146" s="29"/>
      <c r="Q146" s="29" t="s">
        <v>654</v>
      </c>
      <c r="R146" s="29"/>
      <c r="S146" s="29"/>
      <c r="T146" s="29"/>
      <c r="U146" s="26" t="str">
        <f t="shared" si="23"/>
        <v>Critical</v>
      </c>
      <c r="V146" s="26"/>
      <c r="W146" s="26">
        <f t="shared" si="24"/>
        <v>5</v>
      </c>
      <c r="X146" s="26">
        <f t="shared" si="25"/>
        <v>5</v>
      </c>
      <c r="Y146" s="26">
        <f t="shared" si="26"/>
        <v>25</v>
      </c>
      <c r="Z146" s="26" t="str">
        <f t="shared" si="27"/>
        <v>Critical</v>
      </c>
      <c r="AA146" s="26" t="str">
        <f t="shared" si="28"/>
        <v>No Change</v>
      </c>
      <c r="AB146" s="5">
        <f t="shared" si="29"/>
        <v>25.0000146</v>
      </c>
    </row>
    <row r="147" spans="1:28" ht="49.5" customHeight="1">
      <c r="A147" s="22">
        <v>142</v>
      </c>
      <c r="B147" s="30" t="s">
        <v>554</v>
      </c>
      <c r="C147" s="30" t="s">
        <v>39</v>
      </c>
      <c r="D147" s="29" t="s">
        <v>655</v>
      </c>
      <c r="E147" s="29" t="s">
        <v>656</v>
      </c>
      <c r="F147" s="29" t="s">
        <v>657</v>
      </c>
      <c r="G147" s="29" t="s">
        <v>33</v>
      </c>
      <c r="H147" s="29" t="s">
        <v>50</v>
      </c>
      <c r="I147" s="25">
        <f t="shared" si="20"/>
        <v>3</v>
      </c>
      <c r="J147" s="29" t="s">
        <v>119</v>
      </c>
      <c r="K147" s="25">
        <f t="shared" si="21"/>
        <v>3</v>
      </c>
      <c r="L147" s="26">
        <f t="shared" si="22"/>
        <v>9</v>
      </c>
      <c r="M147" s="29" t="s">
        <v>658</v>
      </c>
      <c r="N147" s="29"/>
      <c r="O147" s="29"/>
      <c r="P147" s="29"/>
      <c r="Q147" s="29" t="s">
        <v>644</v>
      </c>
      <c r="R147" s="29"/>
      <c r="S147" s="29"/>
      <c r="T147" s="29"/>
      <c r="U147" s="26" t="str">
        <f t="shared" si="23"/>
        <v>Medium</v>
      </c>
      <c r="V147" s="26"/>
      <c r="W147" s="26">
        <f t="shared" si="24"/>
        <v>3</v>
      </c>
      <c r="X147" s="26">
        <f t="shared" si="25"/>
        <v>3</v>
      </c>
      <c r="Y147" s="26">
        <f t="shared" si="26"/>
        <v>9</v>
      </c>
      <c r="Z147" s="26" t="str">
        <f t="shared" si="27"/>
        <v>Medium</v>
      </c>
      <c r="AA147" s="26" t="str">
        <f t="shared" si="28"/>
        <v>No Change</v>
      </c>
      <c r="AB147" s="5">
        <f t="shared" si="29"/>
        <v>9.0000146999999995</v>
      </c>
    </row>
    <row r="148" spans="1:28" ht="123.75" customHeight="1">
      <c r="A148" s="22">
        <v>143</v>
      </c>
      <c r="B148" s="30" t="s">
        <v>659</v>
      </c>
      <c r="C148" s="30" t="s">
        <v>138</v>
      </c>
      <c r="D148" s="29" t="s">
        <v>660</v>
      </c>
      <c r="E148" s="29" t="s">
        <v>661</v>
      </c>
      <c r="F148" s="29" t="s">
        <v>662</v>
      </c>
      <c r="G148" s="29" t="s">
        <v>33</v>
      </c>
      <c r="H148" s="29" t="s">
        <v>34</v>
      </c>
      <c r="I148" s="25">
        <f t="shared" si="20"/>
        <v>5</v>
      </c>
      <c r="J148" s="29" t="s">
        <v>35</v>
      </c>
      <c r="K148" s="25">
        <f t="shared" si="21"/>
        <v>5</v>
      </c>
      <c r="L148" s="26">
        <f t="shared" si="22"/>
        <v>25</v>
      </c>
      <c r="M148" s="29" t="s">
        <v>663</v>
      </c>
      <c r="N148" s="29"/>
      <c r="O148" s="29"/>
      <c r="P148" s="29"/>
      <c r="Q148" s="29" t="s">
        <v>664</v>
      </c>
      <c r="R148" s="29"/>
      <c r="S148" s="29"/>
      <c r="T148" s="29"/>
      <c r="U148" s="26" t="str">
        <f t="shared" si="23"/>
        <v>Critical</v>
      </c>
      <c r="V148" s="26"/>
      <c r="W148" s="26">
        <f t="shared" si="24"/>
        <v>5</v>
      </c>
      <c r="X148" s="26">
        <f t="shared" si="25"/>
        <v>5</v>
      </c>
      <c r="Y148" s="26">
        <f t="shared" si="26"/>
        <v>25</v>
      </c>
      <c r="Z148" s="26" t="str">
        <f t="shared" si="27"/>
        <v>Critical</v>
      </c>
      <c r="AA148" s="26" t="str">
        <f t="shared" si="28"/>
        <v>No Change</v>
      </c>
      <c r="AB148" s="5">
        <f t="shared" si="29"/>
        <v>25.000014799999999</v>
      </c>
    </row>
    <row r="149" spans="1:28" ht="99.75" customHeight="1">
      <c r="A149" s="22">
        <v>144</v>
      </c>
      <c r="B149" s="30" t="s">
        <v>659</v>
      </c>
      <c r="C149" s="30" t="s">
        <v>29</v>
      </c>
      <c r="D149" s="29" t="s">
        <v>665</v>
      </c>
      <c r="E149" s="29" t="s">
        <v>666</v>
      </c>
      <c r="F149" s="29" t="s">
        <v>667</v>
      </c>
      <c r="G149" s="29" t="s">
        <v>356</v>
      </c>
      <c r="H149" s="29" t="s">
        <v>50</v>
      </c>
      <c r="I149" s="25">
        <f t="shared" si="20"/>
        <v>3</v>
      </c>
      <c r="J149" s="29" t="s">
        <v>119</v>
      </c>
      <c r="K149" s="25">
        <f t="shared" si="21"/>
        <v>3</v>
      </c>
      <c r="L149" s="26">
        <f t="shared" si="22"/>
        <v>9</v>
      </c>
      <c r="M149" s="29" t="s">
        <v>668</v>
      </c>
      <c r="N149" s="29"/>
      <c r="O149" s="29"/>
      <c r="P149" s="29"/>
      <c r="Q149" s="29" t="s">
        <v>669</v>
      </c>
      <c r="R149" s="29"/>
      <c r="S149" s="29"/>
      <c r="T149" s="29"/>
      <c r="U149" s="26" t="str">
        <f t="shared" si="23"/>
        <v>Medium</v>
      </c>
      <c r="V149" s="26"/>
      <c r="W149" s="26">
        <f t="shared" si="24"/>
        <v>3</v>
      </c>
      <c r="X149" s="26">
        <f t="shared" si="25"/>
        <v>3</v>
      </c>
      <c r="Y149" s="26">
        <f t="shared" si="26"/>
        <v>9</v>
      </c>
      <c r="Z149" s="26" t="str">
        <f t="shared" si="27"/>
        <v>Medium</v>
      </c>
      <c r="AA149" s="26" t="str">
        <f t="shared" si="28"/>
        <v>No Change</v>
      </c>
      <c r="AB149" s="5">
        <f t="shared" si="29"/>
        <v>9.0000149</v>
      </c>
    </row>
    <row r="150" spans="1:28" ht="124.5" customHeight="1">
      <c r="A150" s="22">
        <v>145</v>
      </c>
      <c r="B150" s="30" t="s">
        <v>659</v>
      </c>
      <c r="C150" s="30" t="s">
        <v>29</v>
      </c>
      <c r="D150" s="29" t="s">
        <v>670</v>
      </c>
      <c r="E150" s="29" t="s">
        <v>671</v>
      </c>
      <c r="F150" s="29" t="s">
        <v>672</v>
      </c>
      <c r="G150" s="29" t="s">
        <v>33</v>
      </c>
      <c r="H150" s="29" t="s">
        <v>34</v>
      </c>
      <c r="I150" s="25">
        <f t="shared" si="20"/>
        <v>5</v>
      </c>
      <c r="J150" s="29" t="s">
        <v>35</v>
      </c>
      <c r="K150" s="25">
        <f t="shared" si="21"/>
        <v>5</v>
      </c>
      <c r="L150" s="26">
        <f t="shared" si="22"/>
        <v>25</v>
      </c>
      <c r="M150" s="29" t="s">
        <v>673</v>
      </c>
      <c r="N150" s="29"/>
      <c r="O150" s="29"/>
      <c r="P150" s="29"/>
      <c r="Q150" s="29" t="s">
        <v>674</v>
      </c>
      <c r="R150" s="29"/>
      <c r="S150" s="29"/>
      <c r="T150" s="29"/>
      <c r="U150" s="26" t="str">
        <f t="shared" si="23"/>
        <v>Critical</v>
      </c>
      <c r="V150" s="26"/>
      <c r="W150" s="26">
        <f t="shared" si="24"/>
        <v>5</v>
      </c>
      <c r="X150" s="26">
        <f t="shared" si="25"/>
        <v>5</v>
      </c>
      <c r="Y150" s="26">
        <f t="shared" si="26"/>
        <v>25</v>
      </c>
      <c r="Z150" s="26" t="str">
        <f t="shared" si="27"/>
        <v>Critical</v>
      </c>
      <c r="AA150" s="26" t="str">
        <f t="shared" si="28"/>
        <v>No Change</v>
      </c>
      <c r="AB150" s="5">
        <f t="shared" si="29"/>
        <v>25.000015000000001</v>
      </c>
    </row>
    <row r="151" spans="1:28" ht="126" customHeight="1">
      <c r="A151" s="22">
        <v>146</v>
      </c>
      <c r="B151" s="30" t="s">
        <v>659</v>
      </c>
      <c r="C151" s="30" t="s">
        <v>138</v>
      </c>
      <c r="D151" s="29" t="s">
        <v>675</v>
      </c>
      <c r="E151" s="29" t="s">
        <v>676</v>
      </c>
      <c r="F151" s="29" t="s">
        <v>677</v>
      </c>
      <c r="G151" s="29" t="s">
        <v>43</v>
      </c>
      <c r="H151" s="29" t="s">
        <v>108</v>
      </c>
      <c r="I151" s="25">
        <f t="shared" si="20"/>
        <v>2</v>
      </c>
      <c r="J151" s="29" t="s">
        <v>51</v>
      </c>
      <c r="K151" s="25">
        <f t="shared" si="21"/>
        <v>4</v>
      </c>
      <c r="L151" s="26">
        <f t="shared" si="22"/>
        <v>8</v>
      </c>
      <c r="M151" s="29" t="s">
        <v>678</v>
      </c>
      <c r="N151" s="29"/>
      <c r="O151" s="29"/>
      <c r="P151" s="29"/>
      <c r="Q151" s="29" t="s">
        <v>679</v>
      </c>
      <c r="R151" s="29"/>
      <c r="S151" s="29"/>
      <c r="T151" s="29"/>
      <c r="U151" s="26" t="str">
        <f t="shared" si="23"/>
        <v>Medium</v>
      </c>
      <c r="V151" s="26"/>
      <c r="W151" s="26">
        <f t="shared" si="24"/>
        <v>2</v>
      </c>
      <c r="X151" s="26">
        <f t="shared" si="25"/>
        <v>4</v>
      </c>
      <c r="Y151" s="26">
        <f t="shared" si="26"/>
        <v>8</v>
      </c>
      <c r="Z151" s="26" t="str">
        <f t="shared" si="27"/>
        <v>Medium</v>
      </c>
      <c r="AA151" s="26" t="str">
        <f t="shared" si="28"/>
        <v>No Change</v>
      </c>
      <c r="AB151" s="5">
        <f t="shared" si="29"/>
        <v>8.0000151000000006</v>
      </c>
    </row>
    <row r="152" spans="1:28" ht="129.75" customHeight="1">
      <c r="A152" s="22">
        <v>147</v>
      </c>
      <c r="B152" s="30" t="s">
        <v>659</v>
      </c>
      <c r="C152" s="30" t="s">
        <v>138</v>
      </c>
      <c r="D152" s="29" t="s">
        <v>680</v>
      </c>
      <c r="E152" s="29" t="s">
        <v>681</v>
      </c>
      <c r="F152" s="29" t="s">
        <v>682</v>
      </c>
      <c r="G152" s="29" t="s">
        <v>33</v>
      </c>
      <c r="H152" s="29" t="s">
        <v>50</v>
      </c>
      <c r="I152" s="25">
        <f t="shared" si="20"/>
        <v>3</v>
      </c>
      <c r="J152" s="29" t="s">
        <v>51</v>
      </c>
      <c r="K152" s="25">
        <f t="shared" si="21"/>
        <v>4</v>
      </c>
      <c r="L152" s="26">
        <f t="shared" si="22"/>
        <v>12</v>
      </c>
      <c r="M152" s="29" t="s">
        <v>683</v>
      </c>
      <c r="N152" s="29"/>
      <c r="O152" s="29"/>
      <c r="P152" s="29"/>
      <c r="Q152" s="29" t="s">
        <v>684</v>
      </c>
      <c r="R152" s="29"/>
      <c r="S152" s="29"/>
      <c r="T152" s="29"/>
      <c r="U152" s="26" t="str">
        <f t="shared" si="23"/>
        <v>High</v>
      </c>
      <c r="V152" s="26"/>
      <c r="W152" s="26">
        <f t="shared" si="24"/>
        <v>3</v>
      </c>
      <c r="X152" s="26">
        <f t="shared" si="25"/>
        <v>4</v>
      </c>
      <c r="Y152" s="26">
        <f t="shared" si="26"/>
        <v>12</v>
      </c>
      <c r="Z152" s="26" t="str">
        <f t="shared" si="27"/>
        <v>High</v>
      </c>
      <c r="AA152" s="26" t="str">
        <f t="shared" si="28"/>
        <v>No Change</v>
      </c>
      <c r="AB152" s="5">
        <f t="shared" si="29"/>
        <v>12.0000152</v>
      </c>
    </row>
    <row r="153" spans="1:28" ht="133.5" customHeight="1">
      <c r="A153" s="22">
        <v>148</v>
      </c>
      <c r="B153" s="30" t="s">
        <v>659</v>
      </c>
      <c r="C153" s="30" t="s">
        <v>61</v>
      </c>
      <c r="D153" s="29" t="s">
        <v>685</v>
      </c>
      <c r="E153" s="29" t="s">
        <v>686</v>
      </c>
      <c r="F153" s="29" t="s">
        <v>687</v>
      </c>
      <c r="G153" s="29" t="s">
        <v>245</v>
      </c>
      <c r="H153" s="29" t="s">
        <v>34</v>
      </c>
      <c r="I153" s="25">
        <f t="shared" si="20"/>
        <v>5</v>
      </c>
      <c r="J153" s="29" t="s">
        <v>51</v>
      </c>
      <c r="K153" s="25">
        <f t="shared" si="21"/>
        <v>4</v>
      </c>
      <c r="L153" s="26">
        <f t="shared" si="22"/>
        <v>20</v>
      </c>
      <c r="M153" s="29" t="s">
        <v>688</v>
      </c>
      <c r="N153" s="29"/>
      <c r="O153" s="29"/>
      <c r="P153" s="29"/>
      <c r="Q153" s="29" t="s">
        <v>689</v>
      </c>
      <c r="R153" s="29"/>
      <c r="S153" s="29"/>
      <c r="T153" s="29"/>
      <c r="U153" s="26" t="str">
        <f t="shared" si="23"/>
        <v>Critical</v>
      </c>
      <c r="V153" s="26"/>
      <c r="W153" s="26">
        <f t="shared" si="24"/>
        <v>5</v>
      </c>
      <c r="X153" s="26">
        <f t="shared" si="25"/>
        <v>4</v>
      </c>
      <c r="Y153" s="26">
        <f t="shared" si="26"/>
        <v>20</v>
      </c>
      <c r="Z153" s="26" t="str">
        <f t="shared" si="27"/>
        <v>Critical</v>
      </c>
      <c r="AA153" s="26" t="str">
        <f t="shared" si="28"/>
        <v>No Change</v>
      </c>
      <c r="AB153" s="5">
        <f t="shared" si="29"/>
        <v>20.000015300000001</v>
      </c>
    </row>
    <row r="154" spans="1:28" ht="133.5" customHeight="1">
      <c r="A154" s="22">
        <v>149</v>
      </c>
      <c r="B154" s="30" t="s">
        <v>659</v>
      </c>
      <c r="C154" s="30" t="s">
        <v>89</v>
      </c>
      <c r="D154" s="29" t="s">
        <v>690</v>
      </c>
      <c r="E154" s="29" t="s">
        <v>691</v>
      </c>
      <c r="F154" s="29" t="s">
        <v>692</v>
      </c>
      <c r="G154" s="29" t="s">
        <v>693</v>
      </c>
      <c r="H154" s="29" t="s">
        <v>50</v>
      </c>
      <c r="I154" s="25">
        <f t="shared" si="20"/>
        <v>3</v>
      </c>
      <c r="J154" s="29" t="s">
        <v>35</v>
      </c>
      <c r="K154" s="25">
        <f t="shared" si="21"/>
        <v>5</v>
      </c>
      <c r="L154" s="26">
        <f t="shared" si="22"/>
        <v>15</v>
      </c>
      <c r="M154" s="29" t="s">
        <v>694</v>
      </c>
      <c r="N154" s="29"/>
      <c r="O154" s="29"/>
      <c r="P154" s="29"/>
      <c r="Q154" s="29" t="s">
        <v>695</v>
      </c>
      <c r="R154" s="29"/>
      <c r="S154" s="29"/>
      <c r="T154" s="29"/>
      <c r="U154" s="26" t="str">
        <f t="shared" si="23"/>
        <v>High</v>
      </c>
      <c r="V154" s="26"/>
      <c r="W154" s="26">
        <f t="shared" si="24"/>
        <v>3</v>
      </c>
      <c r="X154" s="26">
        <f t="shared" si="25"/>
        <v>5</v>
      </c>
      <c r="Y154" s="26">
        <f t="shared" si="26"/>
        <v>15</v>
      </c>
      <c r="Z154" s="26" t="str">
        <f t="shared" si="27"/>
        <v>High</v>
      </c>
      <c r="AA154" s="26" t="str">
        <f t="shared" si="28"/>
        <v>No Change</v>
      </c>
      <c r="AB154" s="5">
        <f t="shared" si="29"/>
        <v>15.000015400000001</v>
      </c>
    </row>
    <row r="155" spans="1:28" ht="114" customHeight="1">
      <c r="A155" s="22">
        <v>150</v>
      </c>
      <c r="B155" s="30" t="s">
        <v>659</v>
      </c>
      <c r="C155" s="30" t="s">
        <v>73</v>
      </c>
      <c r="D155" s="29" t="s">
        <v>696</v>
      </c>
      <c r="E155" s="29" t="s">
        <v>697</v>
      </c>
      <c r="F155" s="29" t="s">
        <v>698</v>
      </c>
      <c r="G155" s="29" t="s">
        <v>33</v>
      </c>
      <c r="H155" s="29" t="s">
        <v>34</v>
      </c>
      <c r="I155" s="25">
        <f t="shared" si="20"/>
        <v>5</v>
      </c>
      <c r="J155" s="29" t="s">
        <v>51</v>
      </c>
      <c r="K155" s="25">
        <f t="shared" si="21"/>
        <v>4</v>
      </c>
      <c r="L155" s="26">
        <f t="shared" si="22"/>
        <v>20</v>
      </c>
      <c r="M155" s="29" t="s">
        <v>699</v>
      </c>
      <c r="N155" s="29"/>
      <c r="O155" s="29"/>
      <c r="P155" s="29"/>
      <c r="Q155" s="29" t="s">
        <v>700</v>
      </c>
      <c r="R155" s="29"/>
      <c r="S155" s="29"/>
      <c r="T155" s="29"/>
      <c r="U155" s="26" t="str">
        <f t="shared" si="23"/>
        <v>Critical</v>
      </c>
      <c r="V155" s="26"/>
      <c r="W155" s="26">
        <f t="shared" si="24"/>
        <v>5</v>
      </c>
      <c r="X155" s="26">
        <f t="shared" si="25"/>
        <v>4</v>
      </c>
      <c r="Y155" s="26">
        <f t="shared" si="26"/>
        <v>20</v>
      </c>
      <c r="Z155" s="26" t="str">
        <f t="shared" si="27"/>
        <v>Critical</v>
      </c>
      <c r="AA155" s="26" t="str">
        <f t="shared" si="28"/>
        <v>No Change</v>
      </c>
      <c r="AB155" s="5">
        <f t="shared" si="29"/>
        <v>20.0000155</v>
      </c>
    </row>
    <row r="156" spans="1:28" ht="49.5" customHeight="1">
      <c r="A156" s="22">
        <v>151</v>
      </c>
      <c r="B156" s="30" t="s">
        <v>701</v>
      </c>
      <c r="C156" s="30" t="s">
        <v>39</v>
      </c>
      <c r="D156" s="29" t="s">
        <v>702</v>
      </c>
      <c r="E156" s="29" t="s">
        <v>703</v>
      </c>
      <c r="F156" s="29" t="s">
        <v>704</v>
      </c>
      <c r="G156" s="29" t="s">
        <v>33</v>
      </c>
      <c r="H156" s="29" t="s">
        <v>34</v>
      </c>
      <c r="I156" s="25">
        <f t="shared" si="20"/>
        <v>5</v>
      </c>
      <c r="J156" s="29" t="s">
        <v>35</v>
      </c>
      <c r="K156" s="25">
        <f t="shared" si="21"/>
        <v>5</v>
      </c>
      <c r="L156" s="26">
        <f t="shared" si="22"/>
        <v>25</v>
      </c>
      <c r="M156" s="29" t="s">
        <v>705</v>
      </c>
      <c r="N156" s="29"/>
      <c r="O156" s="29"/>
      <c r="P156" s="29"/>
      <c r="Q156" s="29" t="s">
        <v>706</v>
      </c>
      <c r="R156" s="29"/>
      <c r="S156" s="29"/>
      <c r="T156" s="29"/>
      <c r="U156" s="26" t="str">
        <f t="shared" si="23"/>
        <v>Critical</v>
      </c>
      <c r="V156" s="26"/>
      <c r="W156" s="26">
        <f t="shared" si="24"/>
        <v>5</v>
      </c>
      <c r="X156" s="26">
        <f t="shared" si="25"/>
        <v>5</v>
      </c>
      <c r="Y156" s="26">
        <f t="shared" si="26"/>
        <v>25</v>
      </c>
      <c r="Z156" s="26" t="str">
        <f t="shared" si="27"/>
        <v>Critical</v>
      </c>
      <c r="AA156" s="26" t="str">
        <f t="shared" si="28"/>
        <v>No Change</v>
      </c>
      <c r="AB156" s="5">
        <f t="shared" si="29"/>
        <v>25.000015600000001</v>
      </c>
    </row>
    <row r="157" spans="1:28" ht="49.5" customHeight="1">
      <c r="A157" s="22">
        <v>152</v>
      </c>
      <c r="B157" s="30" t="s">
        <v>701</v>
      </c>
      <c r="C157" s="30" t="s">
        <v>138</v>
      </c>
      <c r="D157" s="29" t="s">
        <v>707</v>
      </c>
      <c r="E157" s="29" t="s">
        <v>708</v>
      </c>
      <c r="F157" s="29" t="s">
        <v>709</v>
      </c>
      <c r="G157" s="29" t="s">
        <v>356</v>
      </c>
      <c r="H157" s="29" t="s">
        <v>108</v>
      </c>
      <c r="I157" s="25">
        <f t="shared" si="20"/>
        <v>2</v>
      </c>
      <c r="J157" s="29" t="s">
        <v>35</v>
      </c>
      <c r="K157" s="25">
        <f t="shared" si="21"/>
        <v>5</v>
      </c>
      <c r="L157" s="26">
        <f t="shared" si="22"/>
        <v>10</v>
      </c>
      <c r="M157" s="29" t="s">
        <v>710</v>
      </c>
      <c r="N157" s="29"/>
      <c r="O157" s="29"/>
      <c r="P157" s="29"/>
      <c r="Q157" s="29" t="s">
        <v>711</v>
      </c>
      <c r="R157" s="29"/>
      <c r="S157" s="29"/>
      <c r="T157" s="29"/>
      <c r="U157" s="26" t="str">
        <f t="shared" si="23"/>
        <v>High</v>
      </c>
      <c r="V157" s="26"/>
      <c r="W157" s="26">
        <f t="shared" si="24"/>
        <v>2</v>
      </c>
      <c r="X157" s="26">
        <f t="shared" si="25"/>
        <v>5</v>
      </c>
      <c r="Y157" s="26">
        <f t="shared" si="26"/>
        <v>10</v>
      </c>
      <c r="Z157" s="26" t="str">
        <f t="shared" si="27"/>
        <v>High</v>
      </c>
      <c r="AA157" s="26" t="str">
        <f t="shared" si="28"/>
        <v>No Change</v>
      </c>
      <c r="AB157" s="5">
        <f t="shared" si="29"/>
        <v>10.000015700000001</v>
      </c>
    </row>
    <row r="158" spans="1:28" ht="49.5" customHeight="1">
      <c r="A158" s="22">
        <v>153</v>
      </c>
      <c r="B158" s="30" t="s">
        <v>701</v>
      </c>
      <c r="C158" s="30" t="s">
        <v>29</v>
      </c>
      <c r="D158" s="29" t="s">
        <v>712</v>
      </c>
      <c r="E158" s="29" t="s">
        <v>713</v>
      </c>
      <c r="F158" s="29" t="s">
        <v>714</v>
      </c>
      <c r="G158" s="29" t="s">
        <v>33</v>
      </c>
      <c r="H158" s="29" t="s">
        <v>44</v>
      </c>
      <c r="I158" s="25">
        <f t="shared" si="20"/>
        <v>4</v>
      </c>
      <c r="J158" s="29" t="s">
        <v>35</v>
      </c>
      <c r="K158" s="25">
        <f t="shared" si="21"/>
        <v>5</v>
      </c>
      <c r="L158" s="26">
        <f t="shared" si="22"/>
        <v>20</v>
      </c>
      <c r="M158" s="29" t="s">
        <v>715</v>
      </c>
      <c r="N158" s="29"/>
      <c r="O158" s="29"/>
      <c r="P158" s="29"/>
      <c r="Q158" s="29" t="s">
        <v>716</v>
      </c>
      <c r="R158" s="29"/>
      <c r="S158" s="29"/>
      <c r="T158" s="29"/>
      <c r="U158" s="26" t="str">
        <f t="shared" si="23"/>
        <v>Critical</v>
      </c>
      <c r="V158" s="26"/>
      <c r="W158" s="26">
        <f t="shared" si="24"/>
        <v>4</v>
      </c>
      <c r="X158" s="26">
        <f t="shared" si="25"/>
        <v>5</v>
      </c>
      <c r="Y158" s="26">
        <f t="shared" si="26"/>
        <v>20</v>
      </c>
      <c r="Z158" s="26" t="str">
        <f t="shared" si="27"/>
        <v>Critical</v>
      </c>
      <c r="AA158" s="26" t="str">
        <f t="shared" si="28"/>
        <v>No Change</v>
      </c>
      <c r="AB158" s="5">
        <f t="shared" si="29"/>
        <v>20.0000158</v>
      </c>
    </row>
    <row r="159" spans="1:28" ht="49.5" customHeight="1">
      <c r="A159" s="22">
        <v>154</v>
      </c>
      <c r="B159" s="30" t="s">
        <v>701</v>
      </c>
      <c r="C159" s="30" t="s">
        <v>138</v>
      </c>
      <c r="D159" s="29" t="s">
        <v>717</v>
      </c>
      <c r="E159" s="29"/>
      <c r="F159" s="29" t="s">
        <v>718</v>
      </c>
      <c r="G159" s="29" t="s">
        <v>43</v>
      </c>
      <c r="H159" s="29" t="s">
        <v>108</v>
      </c>
      <c r="I159" s="25">
        <f t="shared" si="20"/>
        <v>2</v>
      </c>
      <c r="J159" s="29" t="s">
        <v>51</v>
      </c>
      <c r="K159" s="25">
        <f t="shared" si="21"/>
        <v>4</v>
      </c>
      <c r="L159" s="26">
        <f t="shared" si="22"/>
        <v>8</v>
      </c>
      <c r="M159" s="29" t="s">
        <v>719</v>
      </c>
      <c r="N159" s="29"/>
      <c r="O159" s="29"/>
      <c r="P159" s="29"/>
      <c r="Q159" s="29" t="s">
        <v>720</v>
      </c>
      <c r="R159" s="29"/>
      <c r="S159" s="29"/>
      <c r="T159" s="29"/>
      <c r="U159" s="26" t="str">
        <f t="shared" si="23"/>
        <v>Medium</v>
      </c>
      <c r="V159" s="26"/>
      <c r="W159" s="26">
        <f t="shared" si="24"/>
        <v>2</v>
      </c>
      <c r="X159" s="26">
        <f t="shared" si="25"/>
        <v>4</v>
      </c>
      <c r="Y159" s="26">
        <f t="shared" si="26"/>
        <v>8</v>
      </c>
      <c r="Z159" s="26" t="str">
        <f t="shared" si="27"/>
        <v>Medium</v>
      </c>
      <c r="AA159" s="26" t="str">
        <f t="shared" si="28"/>
        <v>No Change</v>
      </c>
      <c r="AB159" s="5">
        <f t="shared" si="29"/>
        <v>8.0000158999999993</v>
      </c>
    </row>
    <row r="160" spans="1:28" ht="49.5" customHeight="1">
      <c r="A160" s="22">
        <v>155</v>
      </c>
      <c r="B160" s="30" t="s">
        <v>701</v>
      </c>
      <c r="C160" s="30" t="s">
        <v>171</v>
      </c>
      <c r="D160" s="29" t="s">
        <v>721</v>
      </c>
      <c r="E160" s="29"/>
      <c r="F160" s="29" t="s">
        <v>722</v>
      </c>
      <c r="G160" s="29" t="s">
        <v>33</v>
      </c>
      <c r="H160" s="29" t="s">
        <v>44</v>
      </c>
      <c r="I160" s="25">
        <f t="shared" si="20"/>
        <v>4</v>
      </c>
      <c r="J160" s="29" t="s">
        <v>119</v>
      </c>
      <c r="K160" s="25">
        <f t="shared" si="21"/>
        <v>3</v>
      </c>
      <c r="L160" s="26">
        <f t="shared" si="22"/>
        <v>12</v>
      </c>
      <c r="M160" s="29" t="s">
        <v>723</v>
      </c>
      <c r="N160" s="29"/>
      <c r="O160" s="29"/>
      <c r="P160" s="29"/>
      <c r="Q160" s="29" t="s">
        <v>724</v>
      </c>
      <c r="R160" s="29"/>
      <c r="S160" s="29"/>
      <c r="T160" s="29"/>
      <c r="U160" s="26" t="str">
        <f t="shared" si="23"/>
        <v>High</v>
      </c>
      <c r="V160" s="26"/>
      <c r="W160" s="26">
        <f t="shared" si="24"/>
        <v>4</v>
      </c>
      <c r="X160" s="26">
        <f t="shared" si="25"/>
        <v>3</v>
      </c>
      <c r="Y160" s="26">
        <f t="shared" si="26"/>
        <v>12</v>
      </c>
      <c r="Z160" s="26" t="str">
        <f t="shared" si="27"/>
        <v>High</v>
      </c>
      <c r="AA160" s="26" t="str">
        <f t="shared" si="28"/>
        <v>No Change</v>
      </c>
      <c r="AB160" s="5">
        <f t="shared" si="29"/>
        <v>12.000016</v>
      </c>
    </row>
    <row r="161" spans="1:28" ht="49.5" customHeight="1">
      <c r="A161" s="22">
        <v>156</v>
      </c>
      <c r="B161" s="30" t="s">
        <v>701</v>
      </c>
      <c r="C161" s="30" t="s">
        <v>138</v>
      </c>
      <c r="D161" s="29" t="s">
        <v>725</v>
      </c>
      <c r="E161" s="29"/>
      <c r="F161" s="29" t="s">
        <v>726</v>
      </c>
      <c r="G161" s="29" t="s">
        <v>43</v>
      </c>
      <c r="H161" s="29" t="s">
        <v>50</v>
      </c>
      <c r="I161" s="25">
        <f t="shared" si="20"/>
        <v>3</v>
      </c>
      <c r="J161" s="29" t="s">
        <v>119</v>
      </c>
      <c r="K161" s="25">
        <f t="shared" si="21"/>
        <v>3</v>
      </c>
      <c r="L161" s="26">
        <f t="shared" si="22"/>
        <v>9</v>
      </c>
      <c r="M161" s="29" t="s">
        <v>727</v>
      </c>
      <c r="N161" s="29"/>
      <c r="O161" s="29"/>
      <c r="P161" s="29"/>
      <c r="Q161" s="29" t="s">
        <v>728</v>
      </c>
      <c r="R161" s="29"/>
      <c r="S161" s="29"/>
      <c r="T161" s="29"/>
      <c r="U161" s="26" t="str">
        <f t="shared" si="23"/>
        <v>Medium</v>
      </c>
      <c r="V161" s="26"/>
      <c r="W161" s="26">
        <f t="shared" si="24"/>
        <v>3</v>
      </c>
      <c r="X161" s="26">
        <f t="shared" si="25"/>
        <v>3</v>
      </c>
      <c r="Y161" s="26">
        <f t="shared" si="26"/>
        <v>9</v>
      </c>
      <c r="Z161" s="26" t="str">
        <f t="shared" si="27"/>
        <v>Medium</v>
      </c>
      <c r="AA161" s="26" t="str">
        <f t="shared" si="28"/>
        <v>No Change</v>
      </c>
      <c r="AB161" s="5">
        <f t="shared" si="29"/>
        <v>9.0000160999999999</v>
      </c>
    </row>
    <row r="162" spans="1:28" ht="49.5" customHeight="1">
      <c r="A162" s="22">
        <v>157</v>
      </c>
      <c r="B162" s="30" t="s">
        <v>701</v>
      </c>
      <c r="C162" s="30" t="s">
        <v>29</v>
      </c>
      <c r="D162" s="29" t="s">
        <v>729</v>
      </c>
      <c r="E162" s="29"/>
      <c r="F162" s="29" t="s">
        <v>730</v>
      </c>
      <c r="G162" s="29" t="s">
        <v>58</v>
      </c>
      <c r="H162" s="29" t="s">
        <v>50</v>
      </c>
      <c r="I162" s="25">
        <f t="shared" si="20"/>
        <v>3</v>
      </c>
      <c r="J162" s="29" t="s">
        <v>593</v>
      </c>
      <c r="K162" s="25">
        <f t="shared" si="21"/>
        <v>1</v>
      </c>
      <c r="L162" s="26">
        <f t="shared" si="22"/>
        <v>3</v>
      </c>
      <c r="M162" s="29" t="s">
        <v>731</v>
      </c>
      <c r="N162" s="29"/>
      <c r="O162" s="29"/>
      <c r="P162" s="29"/>
      <c r="Q162" s="29"/>
      <c r="R162" s="29"/>
      <c r="S162" s="29"/>
      <c r="T162" s="29"/>
      <c r="U162" s="26" t="str">
        <f t="shared" si="23"/>
        <v>Low</v>
      </c>
      <c r="V162" s="26"/>
      <c r="W162" s="26">
        <f t="shared" si="24"/>
        <v>3</v>
      </c>
      <c r="X162" s="26">
        <f t="shared" si="25"/>
        <v>1</v>
      </c>
      <c r="Y162" s="26">
        <f t="shared" si="26"/>
        <v>3</v>
      </c>
      <c r="Z162" s="26" t="str">
        <f t="shared" si="27"/>
        <v>Low</v>
      </c>
      <c r="AA162" s="26" t="str">
        <f t="shared" si="28"/>
        <v>No Change</v>
      </c>
      <c r="AB162" s="5">
        <f t="shared" si="29"/>
        <v>3.0000162000000001</v>
      </c>
    </row>
    <row r="163" spans="1:28" ht="49.5" customHeight="1">
      <c r="A163" s="22">
        <v>158</v>
      </c>
      <c r="B163" s="30" t="s">
        <v>701</v>
      </c>
      <c r="C163" s="30" t="s">
        <v>29</v>
      </c>
      <c r="D163" s="29" t="s">
        <v>732</v>
      </c>
      <c r="E163" s="29" t="s">
        <v>733</v>
      </c>
      <c r="F163" s="29" t="s">
        <v>734</v>
      </c>
      <c r="G163" s="29" t="s">
        <v>33</v>
      </c>
      <c r="H163" s="29" t="s">
        <v>50</v>
      </c>
      <c r="I163" s="25">
        <f t="shared" si="20"/>
        <v>3</v>
      </c>
      <c r="J163" s="29" t="s">
        <v>51</v>
      </c>
      <c r="K163" s="25">
        <f t="shared" si="21"/>
        <v>4</v>
      </c>
      <c r="L163" s="26">
        <f t="shared" si="22"/>
        <v>12</v>
      </c>
      <c r="M163" s="29" t="s">
        <v>735</v>
      </c>
      <c r="N163" s="29"/>
      <c r="O163" s="29"/>
      <c r="P163" s="29"/>
      <c r="Q163" s="29" t="s">
        <v>736</v>
      </c>
      <c r="R163" s="29"/>
      <c r="S163" s="29"/>
      <c r="T163" s="29"/>
      <c r="U163" s="26" t="str">
        <f t="shared" si="23"/>
        <v>High</v>
      </c>
      <c r="V163" s="26"/>
      <c r="W163" s="26">
        <f t="shared" si="24"/>
        <v>3</v>
      </c>
      <c r="X163" s="26">
        <f t="shared" si="25"/>
        <v>4</v>
      </c>
      <c r="Y163" s="26">
        <f t="shared" si="26"/>
        <v>12</v>
      </c>
      <c r="Z163" s="26" t="str">
        <f t="shared" si="27"/>
        <v>High</v>
      </c>
      <c r="AA163" s="26" t="str">
        <f t="shared" si="28"/>
        <v>No Change</v>
      </c>
      <c r="AB163" s="5">
        <f t="shared" si="29"/>
        <v>12.0000163</v>
      </c>
    </row>
    <row r="164" spans="1:28" ht="49.5" customHeight="1">
      <c r="A164" s="22">
        <v>159</v>
      </c>
      <c r="B164" s="30" t="s">
        <v>701</v>
      </c>
      <c r="C164" s="30" t="s">
        <v>29</v>
      </c>
      <c r="D164" s="29" t="s">
        <v>737</v>
      </c>
      <c r="E164" s="29" t="s">
        <v>738</v>
      </c>
      <c r="F164" s="29" t="s">
        <v>739</v>
      </c>
      <c r="G164" s="29" t="s">
        <v>58</v>
      </c>
      <c r="H164" s="29" t="s">
        <v>108</v>
      </c>
      <c r="I164" s="25">
        <f t="shared" si="20"/>
        <v>2</v>
      </c>
      <c r="J164" s="29" t="s">
        <v>35</v>
      </c>
      <c r="K164" s="25">
        <f t="shared" si="21"/>
        <v>5</v>
      </c>
      <c r="L164" s="26">
        <f t="shared" si="22"/>
        <v>10</v>
      </c>
      <c r="M164" s="29" t="s">
        <v>740</v>
      </c>
      <c r="N164" s="29"/>
      <c r="O164" s="29"/>
      <c r="P164" s="29"/>
      <c r="Q164" s="29" t="s">
        <v>741</v>
      </c>
      <c r="R164" s="29"/>
      <c r="S164" s="29"/>
      <c r="T164" s="29"/>
      <c r="U164" s="26" t="str">
        <f t="shared" si="23"/>
        <v>High</v>
      </c>
      <c r="V164" s="26"/>
      <c r="W164" s="26">
        <f t="shared" si="24"/>
        <v>2</v>
      </c>
      <c r="X164" s="26">
        <f t="shared" si="25"/>
        <v>5</v>
      </c>
      <c r="Y164" s="26">
        <f t="shared" si="26"/>
        <v>10</v>
      </c>
      <c r="Z164" s="26" t="str">
        <f t="shared" si="27"/>
        <v>High</v>
      </c>
      <c r="AA164" s="26" t="str">
        <f t="shared" si="28"/>
        <v>No Change</v>
      </c>
      <c r="AB164" s="5">
        <f t="shared" si="29"/>
        <v>10.0000164</v>
      </c>
    </row>
    <row r="165" spans="1:28" ht="49.5" customHeight="1">
      <c r="A165" s="22">
        <v>160</v>
      </c>
      <c r="B165" s="30" t="s">
        <v>701</v>
      </c>
      <c r="C165" s="30" t="s">
        <v>29</v>
      </c>
      <c r="D165" s="29" t="s">
        <v>742</v>
      </c>
      <c r="E165" s="29" t="s">
        <v>743</v>
      </c>
      <c r="F165" s="29" t="s">
        <v>744</v>
      </c>
      <c r="G165" s="29" t="s">
        <v>58</v>
      </c>
      <c r="H165" s="29" t="s">
        <v>44</v>
      </c>
      <c r="I165" s="25">
        <f t="shared" si="20"/>
        <v>4</v>
      </c>
      <c r="J165" s="29" t="s">
        <v>35</v>
      </c>
      <c r="K165" s="25">
        <f t="shared" si="21"/>
        <v>5</v>
      </c>
      <c r="L165" s="26">
        <f t="shared" si="22"/>
        <v>20</v>
      </c>
      <c r="M165" s="29" t="s">
        <v>745</v>
      </c>
      <c r="N165" s="29"/>
      <c r="O165" s="29"/>
      <c r="P165" s="29"/>
      <c r="Q165" s="29" t="s">
        <v>746</v>
      </c>
      <c r="R165" s="29"/>
      <c r="S165" s="29"/>
      <c r="T165" s="29"/>
      <c r="U165" s="26" t="str">
        <f t="shared" si="23"/>
        <v>Critical</v>
      </c>
      <c r="V165" s="26"/>
      <c r="W165" s="26">
        <f t="shared" si="24"/>
        <v>4</v>
      </c>
      <c r="X165" s="26">
        <f t="shared" si="25"/>
        <v>5</v>
      </c>
      <c r="Y165" s="26">
        <f t="shared" si="26"/>
        <v>20</v>
      </c>
      <c r="Z165" s="26" t="str">
        <f t="shared" si="27"/>
        <v>Critical</v>
      </c>
      <c r="AA165" s="26" t="str">
        <f t="shared" si="28"/>
        <v>No Change</v>
      </c>
      <c r="AB165" s="5">
        <f t="shared" si="29"/>
        <v>20.000016500000001</v>
      </c>
    </row>
    <row r="166" spans="1:28" ht="49.5" customHeight="1">
      <c r="A166" s="22">
        <v>161</v>
      </c>
      <c r="B166" s="30" t="s">
        <v>701</v>
      </c>
      <c r="C166" s="30" t="s">
        <v>29</v>
      </c>
      <c r="D166" s="29" t="s">
        <v>747</v>
      </c>
      <c r="E166" s="29" t="s">
        <v>748</v>
      </c>
      <c r="F166" s="29" t="s">
        <v>749</v>
      </c>
      <c r="G166" s="29" t="s">
        <v>33</v>
      </c>
      <c r="H166" s="29" t="s">
        <v>50</v>
      </c>
      <c r="I166" s="25">
        <f t="shared" si="20"/>
        <v>3</v>
      </c>
      <c r="J166" s="29" t="s">
        <v>119</v>
      </c>
      <c r="K166" s="25">
        <f t="shared" si="21"/>
        <v>3</v>
      </c>
      <c r="L166" s="26">
        <f t="shared" si="22"/>
        <v>9</v>
      </c>
      <c r="M166" s="29" t="s">
        <v>750</v>
      </c>
      <c r="N166" s="29"/>
      <c r="O166" s="29"/>
      <c r="P166" s="29"/>
      <c r="Q166" s="29" t="s">
        <v>751</v>
      </c>
      <c r="R166" s="29"/>
      <c r="S166" s="29"/>
      <c r="T166" s="29"/>
      <c r="U166" s="26" t="str">
        <f t="shared" si="23"/>
        <v>Medium</v>
      </c>
      <c r="V166" s="26"/>
      <c r="W166" s="26">
        <f t="shared" si="24"/>
        <v>3</v>
      </c>
      <c r="X166" s="26">
        <f t="shared" si="25"/>
        <v>3</v>
      </c>
      <c r="Y166" s="26">
        <f t="shared" si="26"/>
        <v>9</v>
      </c>
      <c r="Z166" s="26" t="str">
        <f t="shared" si="27"/>
        <v>Medium</v>
      </c>
      <c r="AA166" s="26" t="str">
        <f t="shared" si="28"/>
        <v>No Change</v>
      </c>
      <c r="AB166" s="5">
        <f t="shared" si="29"/>
        <v>9.0000166000000004</v>
      </c>
    </row>
    <row r="167" spans="1:28" ht="49.5" customHeight="1">
      <c r="A167" s="22">
        <v>162</v>
      </c>
      <c r="B167" s="30" t="s">
        <v>701</v>
      </c>
      <c r="C167" s="30" t="s">
        <v>89</v>
      </c>
      <c r="D167" s="29" t="s">
        <v>752</v>
      </c>
      <c r="E167" s="29" t="s">
        <v>753</v>
      </c>
      <c r="F167" s="29" t="s">
        <v>754</v>
      </c>
      <c r="G167" s="29" t="s">
        <v>693</v>
      </c>
      <c r="H167" s="29" t="s">
        <v>50</v>
      </c>
      <c r="I167" s="25">
        <f t="shared" si="20"/>
        <v>3</v>
      </c>
      <c r="J167" s="29" t="s">
        <v>119</v>
      </c>
      <c r="K167" s="25">
        <f t="shared" si="21"/>
        <v>3</v>
      </c>
      <c r="L167" s="26">
        <f t="shared" si="22"/>
        <v>9</v>
      </c>
      <c r="M167" s="29" t="s">
        <v>755</v>
      </c>
      <c r="N167" s="29"/>
      <c r="O167" s="29"/>
      <c r="P167" s="29"/>
      <c r="Q167" s="29" t="s">
        <v>751</v>
      </c>
      <c r="R167" s="29"/>
      <c r="S167" s="29"/>
      <c r="T167" s="29"/>
      <c r="U167" s="26" t="str">
        <f t="shared" si="23"/>
        <v>Medium</v>
      </c>
      <c r="V167" s="26"/>
      <c r="W167" s="26">
        <f t="shared" si="24"/>
        <v>3</v>
      </c>
      <c r="X167" s="26">
        <f t="shared" si="25"/>
        <v>3</v>
      </c>
      <c r="Y167" s="26">
        <f t="shared" si="26"/>
        <v>9</v>
      </c>
      <c r="Z167" s="26" t="str">
        <f t="shared" si="27"/>
        <v>Medium</v>
      </c>
      <c r="AA167" s="26" t="str">
        <f t="shared" si="28"/>
        <v>No Change</v>
      </c>
      <c r="AB167" s="5">
        <f t="shared" si="29"/>
        <v>9.0000166999999998</v>
      </c>
    </row>
    <row r="168" spans="1:28" ht="49.5" customHeight="1">
      <c r="A168" s="22">
        <v>163</v>
      </c>
      <c r="B168" s="30" t="s">
        <v>701</v>
      </c>
      <c r="C168" s="30" t="s">
        <v>138</v>
      </c>
      <c r="D168" s="29" t="s">
        <v>756</v>
      </c>
      <c r="E168" s="29" t="s">
        <v>757</v>
      </c>
      <c r="F168" s="29" t="s">
        <v>758</v>
      </c>
      <c r="G168" s="29" t="s">
        <v>70</v>
      </c>
      <c r="H168" s="29" t="s">
        <v>34</v>
      </c>
      <c r="I168" s="25">
        <f t="shared" si="20"/>
        <v>5</v>
      </c>
      <c r="J168" s="29" t="s">
        <v>119</v>
      </c>
      <c r="K168" s="25">
        <f t="shared" si="21"/>
        <v>3</v>
      </c>
      <c r="L168" s="26">
        <f t="shared" si="22"/>
        <v>15</v>
      </c>
      <c r="M168" s="29" t="s">
        <v>759</v>
      </c>
      <c r="N168" s="29"/>
      <c r="O168" s="29"/>
      <c r="P168" s="29"/>
      <c r="Q168" s="29" t="s">
        <v>751</v>
      </c>
      <c r="R168" s="29"/>
      <c r="S168" s="29"/>
      <c r="T168" s="29"/>
      <c r="U168" s="26" t="str">
        <f t="shared" si="23"/>
        <v>High</v>
      </c>
      <c r="V168" s="26"/>
      <c r="W168" s="26">
        <f t="shared" si="24"/>
        <v>5</v>
      </c>
      <c r="X168" s="26">
        <f t="shared" si="25"/>
        <v>3</v>
      </c>
      <c r="Y168" s="26">
        <f t="shared" si="26"/>
        <v>15</v>
      </c>
      <c r="Z168" s="26" t="str">
        <f t="shared" si="27"/>
        <v>High</v>
      </c>
      <c r="AA168" s="26" t="str">
        <f t="shared" si="28"/>
        <v>No Change</v>
      </c>
      <c r="AB168" s="5">
        <f t="shared" si="29"/>
        <v>15.000016799999999</v>
      </c>
    </row>
    <row r="169" spans="1:28" ht="49.5" customHeight="1">
      <c r="A169" s="22">
        <v>164</v>
      </c>
      <c r="B169" s="30" t="s">
        <v>701</v>
      </c>
      <c r="C169" s="30" t="s">
        <v>29</v>
      </c>
      <c r="D169" s="29" t="s">
        <v>760</v>
      </c>
      <c r="E169" s="29" t="s">
        <v>761</v>
      </c>
      <c r="F169" s="29" t="s">
        <v>762</v>
      </c>
      <c r="G169" s="29" t="s">
        <v>33</v>
      </c>
      <c r="H169" s="29" t="s">
        <v>34</v>
      </c>
      <c r="I169" s="25">
        <f t="shared" si="20"/>
        <v>5</v>
      </c>
      <c r="J169" s="29" t="s">
        <v>119</v>
      </c>
      <c r="K169" s="25">
        <f t="shared" si="21"/>
        <v>3</v>
      </c>
      <c r="L169" s="26">
        <f t="shared" si="22"/>
        <v>15</v>
      </c>
      <c r="M169" s="29" t="s">
        <v>763</v>
      </c>
      <c r="N169" s="29"/>
      <c r="O169" s="29"/>
      <c r="P169" s="29"/>
      <c r="Q169" s="29" t="s">
        <v>751</v>
      </c>
      <c r="R169" s="29"/>
      <c r="S169" s="29"/>
      <c r="T169" s="29"/>
      <c r="U169" s="26" t="str">
        <f t="shared" si="23"/>
        <v>High</v>
      </c>
      <c r="V169" s="26"/>
      <c r="W169" s="26">
        <f t="shared" si="24"/>
        <v>5</v>
      </c>
      <c r="X169" s="26">
        <f t="shared" si="25"/>
        <v>3</v>
      </c>
      <c r="Y169" s="26">
        <f t="shared" si="26"/>
        <v>15</v>
      </c>
      <c r="Z169" s="26" t="str">
        <f t="shared" si="27"/>
        <v>High</v>
      </c>
      <c r="AA169" s="26" t="str">
        <f t="shared" si="28"/>
        <v>No Change</v>
      </c>
      <c r="AB169" s="5">
        <f t="shared" si="29"/>
        <v>15.0000169</v>
      </c>
    </row>
    <row r="170" spans="1:28" ht="49.5" customHeight="1">
      <c r="A170" s="22">
        <v>165</v>
      </c>
      <c r="B170" s="30" t="s">
        <v>193</v>
      </c>
      <c r="C170" s="30" t="s">
        <v>73</v>
      </c>
      <c r="D170" s="29" t="s">
        <v>194</v>
      </c>
      <c r="E170" s="29" t="s">
        <v>764</v>
      </c>
      <c r="F170" s="29" t="s">
        <v>196</v>
      </c>
      <c r="G170" s="29" t="s">
        <v>33</v>
      </c>
      <c r="H170" s="29" t="s">
        <v>50</v>
      </c>
      <c r="I170" s="25">
        <f t="shared" si="20"/>
        <v>3</v>
      </c>
      <c r="J170" s="29" t="s">
        <v>51</v>
      </c>
      <c r="K170" s="25">
        <f t="shared" si="21"/>
        <v>4</v>
      </c>
      <c r="L170" s="26">
        <f t="shared" si="22"/>
        <v>12</v>
      </c>
      <c r="M170" s="29" t="s">
        <v>197</v>
      </c>
      <c r="N170" s="29"/>
      <c r="O170" s="29"/>
      <c r="P170" s="29"/>
      <c r="Q170" s="29" t="s">
        <v>198</v>
      </c>
      <c r="R170" s="29"/>
      <c r="S170" s="29"/>
      <c r="T170" s="29"/>
      <c r="U170" s="26" t="str">
        <f t="shared" si="23"/>
        <v>High</v>
      </c>
      <c r="V170" s="26"/>
      <c r="W170" s="26">
        <f t="shared" si="24"/>
        <v>3</v>
      </c>
      <c r="X170" s="26">
        <f t="shared" si="25"/>
        <v>4</v>
      </c>
      <c r="Y170" s="26">
        <f t="shared" si="26"/>
        <v>12</v>
      </c>
      <c r="Z170" s="26" t="str">
        <f t="shared" si="27"/>
        <v>High</v>
      </c>
      <c r="AA170" s="26" t="str">
        <f t="shared" si="28"/>
        <v>No Change</v>
      </c>
      <c r="AB170" s="5">
        <f t="shared" si="29"/>
        <v>12.000017</v>
      </c>
    </row>
    <row r="171" spans="1:28" ht="49.5" customHeight="1">
      <c r="A171" s="22">
        <v>166</v>
      </c>
      <c r="B171" s="30" t="s">
        <v>193</v>
      </c>
      <c r="C171" s="30" t="s">
        <v>73</v>
      </c>
      <c r="D171" s="29" t="s">
        <v>199</v>
      </c>
      <c r="E171" s="29" t="s">
        <v>765</v>
      </c>
      <c r="F171" s="29" t="s">
        <v>201</v>
      </c>
      <c r="G171" s="29" t="s">
        <v>58</v>
      </c>
      <c r="H171" s="29" t="s">
        <v>50</v>
      </c>
      <c r="I171" s="25">
        <f t="shared" si="20"/>
        <v>3</v>
      </c>
      <c r="J171" s="29" t="s">
        <v>51</v>
      </c>
      <c r="K171" s="25">
        <f t="shared" si="21"/>
        <v>4</v>
      </c>
      <c r="L171" s="26">
        <f t="shared" si="22"/>
        <v>12</v>
      </c>
      <c r="M171" s="29" t="s">
        <v>202</v>
      </c>
      <c r="N171" s="29"/>
      <c r="O171" s="29"/>
      <c r="P171" s="29"/>
      <c r="Q171" s="29" t="s">
        <v>203</v>
      </c>
      <c r="R171" s="29"/>
      <c r="S171" s="29"/>
      <c r="T171" s="29"/>
      <c r="U171" s="26" t="str">
        <f t="shared" si="23"/>
        <v>High</v>
      </c>
      <c r="V171" s="26"/>
      <c r="W171" s="26">
        <f t="shared" si="24"/>
        <v>3</v>
      </c>
      <c r="X171" s="26">
        <f t="shared" si="25"/>
        <v>4</v>
      </c>
      <c r="Y171" s="26">
        <f t="shared" si="26"/>
        <v>12</v>
      </c>
      <c r="Z171" s="26" t="str">
        <f t="shared" si="27"/>
        <v>High</v>
      </c>
      <c r="AA171" s="26" t="str">
        <f t="shared" si="28"/>
        <v>No Change</v>
      </c>
      <c r="AB171" s="5">
        <f t="shared" si="29"/>
        <v>12.000017100000001</v>
      </c>
    </row>
    <row r="172" spans="1:28" ht="49.5" customHeight="1">
      <c r="A172" s="22">
        <v>167</v>
      </c>
      <c r="B172" s="30" t="s">
        <v>193</v>
      </c>
      <c r="C172" s="30" t="s">
        <v>171</v>
      </c>
      <c r="D172" s="29" t="s">
        <v>204</v>
      </c>
      <c r="E172" s="29" t="s">
        <v>765</v>
      </c>
      <c r="F172" s="29" t="s">
        <v>206</v>
      </c>
      <c r="G172" s="29" t="s">
        <v>58</v>
      </c>
      <c r="H172" s="29" t="s">
        <v>44</v>
      </c>
      <c r="I172" s="25">
        <f t="shared" si="20"/>
        <v>4</v>
      </c>
      <c r="J172" s="29" t="s">
        <v>51</v>
      </c>
      <c r="K172" s="25">
        <f t="shared" si="21"/>
        <v>4</v>
      </c>
      <c r="L172" s="26">
        <f t="shared" si="22"/>
        <v>16</v>
      </c>
      <c r="M172" s="29"/>
      <c r="N172" s="29"/>
      <c r="O172" s="29"/>
      <c r="P172" s="29"/>
      <c r="Q172" s="29" t="s">
        <v>207</v>
      </c>
      <c r="R172" s="29"/>
      <c r="S172" s="29"/>
      <c r="T172" s="29"/>
      <c r="U172" s="26" t="str">
        <f t="shared" si="23"/>
        <v>Critical</v>
      </c>
      <c r="V172" s="26"/>
      <c r="W172" s="26">
        <f t="shared" si="24"/>
        <v>4</v>
      </c>
      <c r="X172" s="26">
        <f t="shared" si="25"/>
        <v>4</v>
      </c>
      <c r="Y172" s="26">
        <f t="shared" si="26"/>
        <v>16</v>
      </c>
      <c r="Z172" s="26" t="str">
        <f t="shared" si="27"/>
        <v>Critical</v>
      </c>
      <c r="AA172" s="26" t="str">
        <f t="shared" si="28"/>
        <v>No Change</v>
      </c>
      <c r="AB172" s="5">
        <f t="shared" si="29"/>
        <v>16.000017199999998</v>
      </c>
    </row>
    <row r="173" spans="1:28" ht="49.5" customHeight="1">
      <c r="A173" s="22">
        <v>168</v>
      </c>
      <c r="B173" s="30" t="s">
        <v>193</v>
      </c>
      <c r="C173" s="30" t="s">
        <v>29</v>
      </c>
      <c r="D173" s="29" t="s">
        <v>208</v>
      </c>
      <c r="E173" s="29" t="s">
        <v>766</v>
      </c>
      <c r="F173" s="29" t="s">
        <v>210</v>
      </c>
      <c r="G173" s="29" t="s">
        <v>58</v>
      </c>
      <c r="H173" s="29" t="s">
        <v>34</v>
      </c>
      <c r="I173" s="25">
        <f t="shared" si="20"/>
        <v>5</v>
      </c>
      <c r="J173" s="29" t="s">
        <v>35</v>
      </c>
      <c r="K173" s="25">
        <f t="shared" si="21"/>
        <v>5</v>
      </c>
      <c r="L173" s="26">
        <f t="shared" si="22"/>
        <v>25</v>
      </c>
      <c r="M173" s="29" t="s">
        <v>211</v>
      </c>
      <c r="N173" s="29"/>
      <c r="O173" s="29"/>
      <c r="P173" s="29"/>
      <c r="Q173" s="29" t="s">
        <v>212</v>
      </c>
      <c r="R173" s="29"/>
      <c r="S173" s="29"/>
      <c r="T173" s="29"/>
      <c r="U173" s="26" t="str">
        <f t="shared" si="23"/>
        <v>Critical</v>
      </c>
      <c r="V173" s="26"/>
      <c r="W173" s="26">
        <f t="shared" si="24"/>
        <v>5</v>
      </c>
      <c r="X173" s="26">
        <f t="shared" si="25"/>
        <v>5</v>
      </c>
      <c r="Y173" s="26">
        <f t="shared" si="26"/>
        <v>25</v>
      </c>
      <c r="Z173" s="26" t="str">
        <f t="shared" si="27"/>
        <v>Critical</v>
      </c>
      <c r="AA173" s="26" t="str">
        <f t="shared" si="28"/>
        <v>No Change</v>
      </c>
      <c r="AB173" s="5">
        <f t="shared" si="29"/>
        <v>25.0000173</v>
      </c>
    </row>
    <row r="174" spans="1:28" ht="49.5" customHeight="1">
      <c r="A174" s="22">
        <v>169</v>
      </c>
      <c r="B174" s="30" t="s">
        <v>193</v>
      </c>
      <c r="C174" s="30" t="s">
        <v>39</v>
      </c>
      <c r="D174" s="29" t="s">
        <v>213</v>
      </c>
      <c r="E174" s="29" t="s">
        <v>703</v>
      </c>
      <c r="F174" s="29" t="s">
        <v>215</v>
      </c>
      <c r="G174" s="29" t="s">
        <v>33</v>
      </c>
      <c r="H174" s="29" t="s">
        <v>50</v>
      </c>
      <c r="I174" s="25">
        <f t="shared" si="20"/>
        <v>3</v>
      </c>
      <c r="J174" s="29" t="s">
        <v>35</v>
      </c>
      <c r="K174" s="25">
        <f t="shared" si="21"/>
        <v>5</v>
      </c>
      <c r="L174" s="26">
        <f t="shared" si="22"/>
        <v>15</v>
      </c>
      <c r="M174" s="29" t="s">
        <v>216</v>
      </c>
      <c r="N174" s="29"/>
      <c r="O174" s="29"/>
      <c r="P174" s="29"/>
      <c r="Q174" s="29" t="s">
        <v>217</v>
      </c>
      <c r="R174" s="29"/>
      <c r="S174" s="29"/>
      <c r="T174" s="29"/>
      <c r="U174" s="26" t="str">
        <f t="shared" si="23"/>
        <v>High</v>
      </c>
      <c r="V174" s="26"/>
      <c r="W174" s="26">
        <f t="shared" si="24"/>
        <v>3</v>
      </c>
      <c r="X174" s="26">
        <f t="shared" si="25"/>
        <v>5</v>
      </c>
      <c r="Y174" s="26">
        <f t="shared" si="26"/>
        <v>15</v>
      </c>
      <c r="Z174" s="26" t="str">
        <f t="shared" si="27"/>
        <v>High</v>
      </c>
      <c r="AA174" s="26" t="str">
        <f t="shared" si="28"/>
        <v>No Change</v>
      </c>
      <c r="AB174" s="5">
        <f t="shared" si="29"/>
        <v>15.000017400000001</v>
      </c>
    </row>
    <row r="175" spans="1:28" ht="49.5" customHeight="1">
      <c r="A175" s="22">
        <v>170</v>
      </c>
      <c r="B175" s="30" t="s">
        <v>193</v>
      </c>
      <c r="C175" s="30" t="s">
        <v>171</v>
      </c>
      <c r="D175" s="29" t="s">
        <v>218</v>
      </c>
      <c r="E175" s="29" t="s">
        <v>767</v>
      </c>
      <c r="F175" s="29" t="s">
        <v>220</v>
      </c>
      <c r="G175" s="29" t="s">
        <v>33</v>
      </c>
      <c r="H175" s="29" t="s">
        <v>108</v>
      </c>
      <c r="I175" s="25">
        <f t="shared" si="20"/>
        <v>2</v>
      </c>
      <c r="J175" s="29" t="s">
        <v>51</v>
      </c>
      <c r="K175" s="25">
        <f t="shared" si="21"/>
        <v>4</v>
      </c>
      <c r="L175" s="26">
        <f t="shared" si="22"/>
        <v>8</v>
      </c>
      <c r="M175" s="29" t="s">
        <v>221</v>
      </c>
      <c r="N175" s="29"/>
      <c r="O175" s="29"/>
      <c r="P175" s="29"/>
      <c r="Q175" s="29" t="s">
        <v>222</v>
      </c>
      <c r="R175" s="29"/>
      <c r="S175" s="29"/>
      <c r="T175" s="29"/>
      <c r="U175" s="26" t="str">
        <f t="shared" si="23"/>
        <v>Medium</v>
      </c>
      <c r="V175" s="26"/>
      <c r="W175" s="26">
        <f t="shared" si="24"/>
        <v>2</v>
      </c>
      <c r="X175" s="26">
        <f t="shared" si="25"/>
        <v>4</v>
      </c>
      <c r="Y175" s="26">
        <f t="shared" si="26"/>
        <v>8</v>
      </c>
      <c r="Z175" s="26" t="str">
        <f t="shared" si="27"/>
        <v>Medium</v>
      </c>
      <c r="AA175" s="26" t="str">
        <f t="shared" si="28"/>
        <v>No Change</v>
      </c>
      <c r="AB175" s="5">
        <f t="shared" si="29"/>
        <v>8.0000175000000002</v>
      </c>
    </row>
    <row r="176" spans="1:28" ht="49.5" customHeight="1">
      <c r="A176" s="22">
        <v>171</v>
      </c>
      <c r="B176" s="30" t="s">
        <v>193</v>
      </c>
      <c r="C176" s="30" t="s">
        <v>171</v>
      </c>
      <c r="D176" s="29" t="s">
        <v>223</v>
      </c>
      <c r="E176" s="29" t="s">
        <v>768</v>
      </c>
      <c r="F176" s="29" t="s">
        <v>225</v>
      </c>
      <c r="G176" s="29" t="s">
        <v>33</v>
      </c>
      <c r="H176" s="29" t="s">
        <v>50</v>
      </c>
      <c r="I176" s="25">
        <f t="shared" si="20"/>
        <v>3</v>
      </c>
      <c r="J176" s="29" t="s">
        <v>51</v>
      </c>
      <c r="K176" s="25">
        <f t="shared" si="21"/>
        <v>4</v>
      </c>
      <c r="L176" s="26">
        <f t="shared" si="22"/>
        <v>12</v>
      </c>
      <c r="M176" s="29" t="s">
        <v>226</v>
      </c>
      <c r="N176" s="29"/>
      <c r="O176" s="29"/>
      <c r="P176" s="29"/>
      <c r="Q176" s="29" t="s">
        <v>227</v>
      </c>
      <c r="R176" s="29"/>
      <c r="S176" s="29"/>
      <c r="T176" s="29"/>
      <c r="U176" s="26" t="str">
        <f t="shared" si="23"/>
        <v>High</v>
      </c>
      <c r="V176" s="26"/>
      <c r="W176" s="26">
        <f t="shared" si="24"/>
        <v>3</v>
      </c>
      <c r="X176" s="26">
        <f t="shared" si="25"/>
        <v>4</v>
      </c>
      <c r="Y176" s="26">
        <f t="shared" si="26"/>
        <v>12</v>
      </c>
      <c r="Z176" s="26" t="str">
        <f t="shared" si="27"/>
        <v>High</v>
      </c>
      <c r="AA176" s="26" t="str">
        <f t="shared" si="28"/>
        <v>No Change</v>
      </c>
      <c r="AB176" s="5">
        <f t="shared" si="29"/>
        <v>12.0000176</v>
      </c>
    </row>
    <row r="177" spans="1:28" ht="49.5" customHeight="1">
      <c r="A177" s="22">
        <v>172</v>
      </c>
      <c r="B177" s="30" t="s">
        <v>165</v>
      </c>
      <c r="C177" s="30" t="s">
        <v>89</v>
      </c>
      <c r="D177" s="29" t="s">
        <v>166</v>
      </c>
      <c r="E177" s="29" t="s">
        <v>167</v>
      </c>
      <c r="F177" s="29" t="s">
        <v>168</v>
      </c>
      <c r="G177" s="29" t="s">
        <v>58</v>
      </c>
      <c r="H177" s="29" t="s">
        <v>44</v>
      </c>
      <c r="I177" s="25">
        <f t="shared" si="20"/>
        <v>4</v>
      </c>
      <c r="J177" s="29" t="s">
        <v>35</v>
      </c>
      <c r="K177" s="25">
        <f t="shared" si="21"/>
        <v>5</v>
      </c>
      <c r="L177" s="26">
        <f t="shared" si="22"/>
        <v>20</v>
      </c>
      <c r="M177" s="29" t="s">
        <v>169</v>
      </c>
      <c r="N177" s="29"/>
      <c r="O177" s="29"/>
      <c r="P177" s="29"/>
      <c r="Q177" s="29"/>
      <c r="R177" s="29"/>
      <c r="S177" s="29"/>
      <c r="T177" s="29"/>
      <c r="U177" s="26" t="str">
        <f t="shared" si="23"/>
        <v>Critical</v>
      </c>
      <c r="V177" s="26"/>
      <c r="W177" s="26">
        <f t="shared" si="24"/>
        <v>4</v>
      </c>
      <c r="X177" s="26">
        <f t="shared" si="25"/>
        <v>5</v>
      </c>
      <c r="Y177" s="26">
        <f t="shared" si="26"/>
        <v>20</v>
      </c>
      <c r="Z177" s="26" t="str">
        <f t="shared" si="27"/>
        <v>Critical</v>
      </c>
      <c r="AA177" s="26" t="str">
        <f t="shared" si="28"/>
        <v>No Change</v>
      </c>
      <c r="AB177" s="5">
        <f t="shared" si="29"/>
        <v>20.000017700000001</v>
      </c>
    </row>
    <row r="178" spans="1:28" ht="49.5" customHeight="1">
      <c r="A178" s="22">
        <v>173</v>
      </c>
      <c r="B178" s="30" t="s">
        <v>165</v>
      </c>
      <c r="C178" s="30" t="s">
        <v>171</v>
      </c>
      <c r="D178" s="29" t="s">
        <v>172</v>
      </c>
      <c r="E178" s="29" t="s">
        <v>173</v>
      </c>
      <c r="F178" s="29" t="s">
        <v>174</v>
      </c>
      <c r="G178" s="29" t="s">
        <v>33</v>
      </c>
      <c r="H178" s="29" t="s">
        <v>108</v>
      </c>
      <c r="I178" s="25">
        <f t="shared" si="20"/>
        <v>2</v>
      </c>
      <c r="J178" s="29" t="s">
        <v>51</v>
      </c>
      <c r="K178" s="25">
        <f t="shared" si="21"/>
        <v>4</v>
      </c>
      <c r="L178" s="26">
        <f t="shared" si="22"/>
        <v>8</v>
      </c>
      <c r="M178" s="29" t="s">
        <v>175</v>
      </c>
      <c r="N178" s="29"/>
      <c r="O178" s="29"/>
      <c r="P178" s="29"/>
      <c r="Q178" s="29"/>
      <c r="R178" s="29"/>
      <c r="S178" s="29"/>
      <c r="T178" s="29"/>
      <c r="U178" s="26" t="str">
        <f t="shared" si="23"/>
        <v>Medium</v>
      </c>
      <c r="V178" s="26"/>
      <c r="W178" s="26">
        <f t="shared" si="24"/>
        <v>2</v>
      </c>
      <c r="X178" s="26">
        <f t="shared" si="25"/>
        <v>4</v>
      </c>
      <c r="Y178" s="26">
        <f t="shared" si="26"/>
        <v>8</v>
      </c>
      <c r="Z178" s="26" t="str">
        <f t="shared" si="27"/>
        <v>Medium</v>
      </c>
      <c r="AA178" s="26" t="str">
        <f t="shared" si="28"/>
        <v>No Change</v>
      </c>
      <c r="AB178" s="5">
        <f t="shared" si="29"/>
        <v>8.0000178000000002</v>
      </c>
    </row>
    <row r="179" spans="1:28" ht="49.5" customHeight="1">
      <c r="A179" s="22">
        <v>174</v>
      </c>
      <c r="B179" s="30" t="s">
        <v>165</v>
      </c>
      <c r="C179" s="30" t="s">
        <v>54</v>
      </c>
      <c r="D179" s="29" t="s">
        <v>176</v>
      </c>
      <c r="E179" s="29" t="s">
        <v>177</v>
      </c>
      <c r="F179" s="29" t="s">
        <v>178</v>
      </c>
      <c r="G179" s="29" t="s">
        <v>33</v>
      </c>
      <c r="H179" s="29" t="s">
        <v>108</v>
      </c>
      <c r="I179" s="25">
        <f t="shared" si="20"/>
        <v>2</v>
      </c>
      <c r="J179" s="29" t="s">
        <v>35</v>
      </c>
      <c r="K179" s="25">
        <f t="shared" si="21"/>
        <v>5</v>
      </c>
      <c r="L179" s="26">
        <f t="shared" si="22"/>
        <v>10</v>
      </c>
      <c r="M179" s="29" t="s">
        <v>179</v>
      </c>
      <c r="N179" s="29"/>
      <c r="O179" s="29"/>
      <c r="P179" s="29"/>
      <c r="Q179" s="29"/>
      <c r="R179" s="29"/>
      <c r="S179" s="29"/>
      <c r="T179" s="29"/>
      <c r="U179" s="26" t="str">
        <f t="shared" si="23"/>
        <v>High</v>
      </c>
      <c r="V179" s="26"/>
      <c r="W179" s="26">
        <f t="shared" si="24"/>
        <v>2</v>
      </c>
      <c r="X179" s="26">
        <f t="shared" si="25"/>
        <v>5</v>
      </c>
      <c r="Y179" s="26">
        <f t="shared" si="26"/>
        <v>10</v>
      </c>
      <c r="Z179" s="26" t="str">
        <f t="shared" si="27"/>
        <v>High</v>
      </c>
      <c r="AA179" s="26" t="str">
        <f t="shared" si="28"/>
        <v>No Change</v>
      </c>
      <c r="AB179" s="5">
        <f t="shared" si="29"/>
        <v>10.0000179</v>
      </c>
    </row>
    <row r="180" spans="1:28" ht="49.5" customHeight="1">
      <c r="A180" s="22">
        <v>175</v>
      </c>
      <c r="B180" s="30" t="s">
        <v>165</v>
      </c>
      <c r="C180" s="30" t="s">
        <v>29</v>
      </c>
      <c r="D180" s="29" t="s">
        <v>180</v>
      </c>
      <c r="E180" s="29" t="s">
        <v>181</v>
      </c>
      <c r="F180" s="29" t="s">
        <v>182</v>
      </c>
      <c r="G180" s="29" t="s">
        <v>33</v>
      </c>
      <c r="H180" s="29" t="s">
        <v>108</v>
      </c>
      <c r="I180" s="25">
        <f t="shared" si="20"/>
        <v>2</v>
      </c>
      <c r="J180" s="29" t="s">
        <v>51</v>
      </c>
      <c r="K180" s="25">
        <f t="shared" si="21"/>
        <v>4</v>
      </c>
      <c r="L180" s="26">
        <f t="shared" si="22"/>
        <v>8</v>
      </c>
      <c r="M180" s="29" t="s">
        <v>183</v>
      </c>
      <c r="N180" s="29"/>
      <c r="O180" s="29"/>
      <c r="P180" s="29"/>
      <c r="Q180" s="29"/>
      <c r="R180" s="29"/>
      <c r="S180" s="29"/>
      <c r="T180" s="29"/>
      <c r="U180" s="26" t="str">
        <f t="shared" si="23"/>
        <v>Medium</v>
      </c>
      <c r="V180" s="26"/>
      <c r="W180" s="26">
        <f t="shared" si="24"/>
        <v>2</v>
      </c>
      <c r="X180" s="26">
        <f t="shared" si="25"/>
        <v>4</v>
      </c>
      <c r="Y180" s="26">
        <f t="shared" si="26"/>
        <v>8</v>
      </c>
      <c r="Z180" s="26" t="str">
        <f t="shared" si="27"/>
        <v>Medium</v>
      </c>
      <c r="AA180" s="26" t="str">
        <f t="shared" si="28"/>
        <v>No Change</v>
      </c>
      <c r="AB180" s="5">
        <f t="shared" si="29"/>
        <v>8.0000180000000007</v>
      </c>
    </row>
    <row r="181" spans="1:28" ht="49.5" customHeight="1">
      <c r="A181" s="22">
        <v>176</v>
      </c>
      <c r="B181" s="30" t="s">
        <v>165</v>
      </c>
      <c r="C181" s="30" t="s">
        <v>184</v>
      </c>
      <c r="D181" s="29" t="s">
        <v>185</v>
      </c>
      <c r="E181" s="29" t="s">
        <v>186</v>
      </c>
      <c r="F181" s="29" t="s">
        <v>187</v>
      </c>
      <c r="G181" s="29" t="s">
        <v>33</v>
      </c>
      <c r="H181" s="29" t="s">
        <v>44</v>
      </c>
      <c r="I181" s="25">
        <f t="shared" si="20"/>
        <v>4</v>
      </c>
      <c r="J181" s="29" t="s">
        <v>35</v>
      </c>
      <c r="K181" s="25">
        <f t="shared" si="21"/>
        <v>5</v>
      </c>
      <c r="L181" s="26">
        <f t="shared" si="22"/>
        <v>20</v>
      </c>
      <c r="M181" s="29" t="s">
        <v>188</v>
      </c>
      <c r="N181" s="29"/>
      <c r="O181" s="29"/>
      <c r="P181" s="29"/>
      <c r="Q181" s="29"/>
      <c r="R181" s="29"/>
      <c r="S181" s="29"/>
      <c r="T181" s="29"/>
      <c r="U181" s="26" t="str">
        <f t="shared" si="23"/>
        <v>Critical</v>
      </c>
      <c r="V181" s="26"/>
      <c r="W181" s="26">
        <f t="shared" si="24"/>
        <v>4</v>
      </c>
      <c r="X181" s="26">
        <f t="shared" si="25"/>
        <v>5</v>
      </c>
      <c r="Y181" s="26">
        <f t="shared" si="26"/>
        <v>20</v>
      </c>
      <c r="Z181" s="26" t="str">
        <f t="shared" si="27"/>
        <v>Critical</v>
      </c>
      <c r="AA181" s="26" t="str">
        <f t="shared" si="28"/>
        <v>No Change</v>
      </c>
      <c r="AB181" s="5">
        <f t="shared" si="29"/>
        <v>20.000018099999998</v>
      </c>
    </row>
    <row r="182" spans="1:28" ht="49.5" customHeight="1">
      <c r="A182" s="22">
        <v>177</v>
      </c>
      <c r="B182" s="30" t="s">
        <v>165</v>
      </c>
      <c r="C182" s="30" t="s">
        <v>29</v>
      </c>
      <c r="D182" s="29" t="s">
        <v>189</v>
      </c>
      <c r="E182" s="29" t="s">
        <v>190</v>
      </c>
      <c r="F182" s="29" t="s">
        <v>191</v>
      </c>
      <c r="G182" s="29" t="s">
        <v>33</v>
      </c>
      <c r="H182" s="29" t="s">
        <v>108</v>
      </c>
      <c r="I182" s="25">
        <f t="shared" si="20"/>
        <v>2</v>
      </c>
      <c r="J182" s="29" t="s">
        <v>35</v>
      </c>
      <c r="K182" s="25">
        <f t="shared" si="21"/>
        <v>5</v>
      </c>
      <c r="L182" s="26">
        <f t="shared" si="22"/>
        <v>10</v>
      </c>
      <c r="M182" s="29" t="s">
        <v>192</v>
      </c>
      <c r="N182" s="29"/>
      <c r="O182" s="29"/>
      <c r="P182" s="29"/>
      <c r="Q182" s="29"/>
      <c r="R182" s="29"/>
      <c r="S182" s="29"/>
      <c r="T182" s="29"/>
      <c r="U182" s="26" t="str">
        <f t="shared" si="23"/>
        <v>High</v>
      </c>
      <c r="V182" s="26"/>
      <c r="W182" s="26">
        <f t="shared" si="24"/>
        <v>2</v>
      </c>
      <c r="X182" s="26">
        <f t="shared" si="25"/>
        <v>5</v>
      </c>
      <c r="Y182" s="26">
        <f t="shared" si="26"/>
        <v>10</v>
      </c>
      <c r="Z182" s="26" t="str">
        <f t="shared" si="27"/>
        <v>High</v>
      </c>
      <c r="AA182" s="26" t="str">
        <f t="shared" si="28"/>
        <v>No Change</v>
      </c>
      <c r="AB182" s="5">
        <f t="shared" si="29"/>
        <v>10.0000182</v>
      </c>
    </row>
    <row r="183" spans="1:28" ht="49.5" customHeight="1">
      <c r="A183" s="22">
        <v>178</v>
      </c>
      <c r="B183" s="30" t="s">
        <v>769</v>
      </c>
      <c r="C183" s="30" t="s">
        <v>39</v>
      </c>
      <c r="D183" s="29" t="s">
        <v>770</v>
      </c>
      <c r="E183" s="29" t="s">
        <v>771</v>
      </c>
      <c r="F183" s="29" t="s">
        <v>772</v>
      </c>
      <c r="G183" s="29" t="s">
        <v>33</v>
      </c>
      <c r="H183" s="29" t="s">
        <v>34</v>
      </c>
      <c r="I183" s="25">
        <f t="shared" si="20"/>
        <v>5</v>
      </c>
      <c r="J183" s="29" t="s">
        <v>35</v>
      </c>
      <c r="K183" s="25">
        <f t="shared" si="21"/>
        <v>5</v>
      </c>
      <c r="L183" s="26">
        <f t="shared" si="22"/>
        <v>25</v>
      </c>
      <c r="M183" s="29" t="s">
        <v>773</v>
      </c>
      <c r="N183" s="29"/>
      <c r="O183" s="29"/>
      <c r="P183" s="29"/>
      <c r="Q183" s="29"/>
      <c r="R183" s="29"/>
      <c r="S183" s="29"/>
      <c r="T183" s="29"/>
      <c r="U183" s="26" t="str">
        <f t="shared" si="23"/>
        <v>Critical</v>
      </c>
      <c r="V183" s="26"/>
      <c r="W183" s="26">
        <f t="shared" si="24"/>
        <v>5</v>
      </c>
      <c r="X183" s="26">
        <f t="shared" si="25"/>
        <v>5</v>
      </c>
      <c r="Y183" s="26">
        <f t="shared" si="26"/>
        <v>25</v>
      </c>
      <c r="Z183" s="26" t="str">
        <f t="shared" si="27"/>
        <v>Critical</v>
      </c>
      <c r="AA183" s="26" t="str">
        <f t="shared" si="28"/>
        <v>No Change</v>
      </c>
      <c r="AB183" s="5">
        <f t="shared" si="29"/>
        <v>25.000018300000001</v>
      </c>
    </row>
    <row r="184" spans="1:28" ht="49.5" customHeight="1">
      <c r="A184" s="22">
        <v>179</v>
      </c>
      <c r="B184" s="30" t="s">
        <v>769</v>
      </c>
      <c r="C184" s="30" t="s">
        <v>29</v>
      </c>
      <c r="D184" s="29" t="s">
        <v>774</v>
      </c>
      <c r="E184" s="29" t="s">
        <v>775</v>
      </c>
      <c r="F184" s="29" t="s">
        <v>776</v>
      </c>
      <c r="G184" s="29" t="s">
        <v>33</v>
      </c>
      <c r="H184" s="29" t="s">
        <v>34</v>
      </c>
      <c r="I184" s="25">
        <f t="shared" si="20"/>
        <v>5</v>
      </c>
      <c r="J184" s="29" t="s">
        <v>35</v>
      </c>
      <c r="K184" s="25">
        <f t="shared" si="21"/>
        <v>5</v>
      </c>
      <c r="L184" s="26">
        <f t="shared" si="22"/>
        <v>25</v>
      </c>
      <c r="M184" s="29" t="s">
        <v>777</v>
      </c>
      <c r="N184" s="29"/>
      <c r="O184" s="29"/>
      <c r="P184" s="29"/>
      <c r="Q184" s="29"/>
      <c r="R184" s="29"/>
      <c r="S184" s="29"/>
      <c r="T184" s="29"/>
      <c r="U184" s="26" t="str">
        <f t="shared" si="23"/>
        <v>Critical</v>
      </c>
      <c r="V184" s="26"/>
      <c r="W184" s="26">
        <f t="shared" si="24"/>
        <v>5</v>
      </c>
      <c r="X184" s="26">
        <f t="shared" si="25"/>
        <v>5</v>
      </c>
      <c r="Y184" s="26">
        <f t="shared" si="26"/>
        <v>25</v>
      </c>
      <c r="Z184" s="26" t="str">
        <f t="shared" si="27"/>
        <v>Critical</v>
      </c>
      <c r="AA184" s="26" t="str">
        <f t="shared" si="28"/>
        <v>No Change</v>
      </c>
      <c r="AB184" s="5">
        <f t="shared" si="29"/>
        <v>25.000018399999998</v>
      </c>
    </row>
    <row r="185" spans="1:28" ht="49.5" customHeight="1">
      <c r="A185" s="22">
        <v>180</v>
      </c>
      <c r="B185" s="30" t="s">
        <v>769</v>
      </c>
      <c r="C185" s="30" t="s">
        <v>171</v>
      </c>
      <c r="D185" s="29" t="s">
        <v>778</v>
      </c>
      <c r="E185" s="29" t="s">
        <v>779</v>
      </c>
      <c r="F185" s="29" t="s">
        <v>780</v>
      </c>
      <c r="G185" s="29" t="s">
        <v>33</v>
      </c>
      <c r="H185" s="29" t="s">
        <v>34</v>
      </c>
      <c r="I185" s="25">
        <f t="shared" si="20"/>
        <v>5</v>
      </c>
      <c r="J185" s="29" t="s">
        <v>35</v>
      </c>
      <c r="K185" s="25">
        <f t="shared" si="21"/>
        <v>5</v>
      </c>
      <c r="L185" s="26">
        <f t="shared" si="22"/>
        <v>25</v>
      </c>
      <c r="M185" s="29" t="s">
        <v>781</v>
      </c>
      <c r="N185" s="29"/>
      <c r="O185" s="29"/>
      <c r="P185" s="29"/>
      <c r="Q185" s="29"/>
      <c r="R185" s="29"/>
      <c r="S185" s="29"/>
      <c r="T185" s="29"/>
      <c r="U185" s="26" t="str">
        <f t="shared" si="23"/>
        <v>Critical</v>
      </c>
      <c r="V185" s="26"/>
      <c r="W185" s="26">
        <f t="shared" si="24"/>
        <v>5</v>
      </c>
      <c r="X185" s="26">
        <f t="shared" si="25"/>
        <v>5</v>
      </c>
      <c r="Y185" s="26">
        <f t="shared" si="26"/>
        <v>25</v>
      </c>
      <c r="Z185" s="26" t="str">
        <f t="shared" si="27"/>
        <v>Critical</v>
      </c>
      <c r="AA185" s="26" t="str">
        <f t="shared" si="28"/>
        <v>No Change</v>
      </c>
      <c r="AB185" s="5">
        <f t="shared" si="29"/>
        <v>25.000018499999999</v>
      </c>
    </row>
    <row r="186" spans="1:28" ht="49.5" customHeight="1">
      <c r="A186" s="22">
        <v>181</v>
      </c>
      <c r="B186" s="30" t="s">
        <v>769</v>
      </c>
      <c r="C186" s="30" t="s">
        <v>89</v>
      </c>
      <c r="D186" s="29" t="s">
        <v>782</v>
      </c>
      <c r="E186" s="29" t="s">
        <v>783</v>
      </c>
      <c r="F186" s="29" t="s">
        <v>783</v>
      </c>
      <c r="G186" s="29" t="s">
        <v>33</v>
      </c>
      <c r="H186" s="29" t="s">
        <v>44</v>
      </c>
      <c r="I186" s="25">
        <f t="shared" si="20"/>
        <v>4</v>
      </c>
      <c r="J186" s="29" t="s">
        <v>35</v>
      </c>
      <c r="K186" s="25">
        <f t="shared" si="21"/>
        <v>5</v>
      </c>
      <c r="L186" s="26">
        <f t="shared" si="22"/>
        <v>20</v>
      </c>
      <c r="M186" s="29" t="s">
        <v>784</v>
      </c>
      <c r="N186" s="29"/>
      <c r="O186" s="29"/>
      <c r="P186" s="29"/>
      <c r="Q186" s="29"/>
      <c r="R186" s="29"/>
      <c r="S186" s="29"/>
      <c r="T186" s="29"/>
      <c r="U186" s="26" t="str">
        <f t="shared" si="23"/>
        <v>Critical</v>
      </c>
      <c r="V186" s="26"/>
      <c r="W186" s="26">
        <f t="shared" si="24"/>
        <v>4</v>
      </c>
      <c r="X186" s="26">
        <f t="shared" si="25"/>
        <v>5</v>
      </c>
      <c r="Y186" s="26">
        <f t="shared" si="26"/>
        <v>20</v>
      </c>
      <c r="Z186" s="26" t="str">
        <f t="shared" si="27"/>
        <v>Critical</v>
      </c>
      <c r="AA186" s="26" t="str">
        <f t="shared" si="28"/>
        <v>No Change</v>
      </c>
      <c r="AB186" s="5">
        <f t="shared" si="29"/>
        <v>20.000018600000001</v>
      </c>
    </row>
    <row r="187" spans="1:28" ht="49.5" customHeight="1">
      <c r="A187" s="22">
        <v>182</v>
      </c>
      <c r="B187" s="30" t="s">
        <v>769</v>
      </c>
      <c r="C187" s="30" t="s">
        <v>89</v>
      </c>
      <c r="D187" s="29" t="s">
        <v>785</v>
      </c>
      <c r="E187" s="29" t="s">
        <v>786</v>
      </c>
      <c r="F187" s="29" t="s">
        <v>786</v>
      </c>
      <c r="G187" s="29" t="s">
        <v>43</v>
      </c>
      <c r="H187" s="29" t="s">
        <v>108</v>
      </c>
      <c r="I187" s="25">
        <f t="shared" si="20"/>
        <v>2</v>
      </c>
      <c r="J187" s="29" t="s">
        <v>35</v>
      </c>
      <c r="K187" s="25">
        <f t="shared" si="21"/>
        <v>5</v>
      </c>
      <c r="L187" s="26">
        <f t="shared" si="22"/>
        <v>10</v>
      </c>
      <c r="M187" s="29" t="s">
        <v>787</v>
      </c>
      <c r="N187" s="29"/>
      <c r="O187" s="29"/>
      <c r="P187" s="29"/>
      <c r="Q187" s="29"/>
      <c r="R187" s="29"/>
      <c r="S187" s="29"/>
      <c r="T187" s="29"/>
      <c r="U187" s="26" t="str">
        <f t="shared" si="23"/>
        <v>High</v>
      </c>
      <c r="V187" s="26"/>
      <c r="W187" s="26">
        <f t="shared" si="24"/>
        <v>2</v>
      </c>
      <c r="X187" s="26">
        <f t="shared" si="25"/>
        <v>5</v>
      </c>
      <c r="Y187" s="26">
        <f t="shared" si="26"/>
        <v>10</v>
      </c>
      <c r="Z187" s="26" t="str">
        <f t="shared" si="27"/>
        <v>High</v>
      </c>
      <c r="AA187" s="26" t="str">
        <f t="shared" si="28"/>
        <v>No Change</v>
      </c>
      <c r="AB187" s="5">
        <f t="shared" si="29"/>
        <v>10.0000187</v>
      </c>
    </row>
    <row r="188" spans="1:28" ht="49.5" customHeight="1">
      <c r="A188" s="22">
        <v>183</v>
      </c>
      <c r="B188" s="30" t="s">
        <v>769</v>
      </c>
      <c r="C188" s="30" t="s">
        <v>61</v>
      </c>
      <c r="D188" s="29" t="s">
        <v>788</v>
      </c>
      <c r="E188" s="29" t="s">
        <v>789</v>
      </c>
      <c r="F188" s="29" t="s">
        <v>789</v>
      </c>
      <c r="G188" s="29" t="s">
        <v>245</v>
      </c>
      <c r="H188" s="29" t="s">
        <v>44</v>
      </c>
      <c r="I188" s="25">
        <f t="shared" si="20"/>
        <v>4</v>
      </c>
      <c r="J188" s="29" t="s">
        <v>119</v>
      </c>
      <c r="K188" s="25">
        <f t="shared" si="21"/>
        <v>3</v>
      </c>
      <c r="L188" s="26">
        <f t="shared" si="22"/>
        <v>12</v>
      </c>
      <c r="M188" s="29" t="s">
        <v>790</v>
      </c>
      <c r="N188" s="29"/>
      <c r="O188" s="29"/>
      <c r="P188" s="29"/>
      <c r="Q188" s="29"/>
      <c r="R188" s="29"/>
      <c r="S188" s="29"/>
      <c r="T188" s="29"/>
      <c r="U188" s="26" t="str">
        <f t="shared" si="23"/>
        <v>High</v>
      </c>
      <c r="V188" s="26"/>
      <c r="W188" s="26">
        <f t="shared" si="24"/>
        <v>4</v>
      </c>
      <c r="X188" s="26">
        <f t="shared" si="25"/>
        <v>3</v>
      </c>
      <c r="Y188" s="26">
        <f t="shared" si="26"/>
        <v>12</v>
      </c>
      <c r="Z188" s="26" t="str">
        <f t="shared" si="27"/>
        <v>High</v>
      </c>
      <c r="AA188" s="26" t="str">
        <f t="shared" si="28"/>
        <v>No Change</v>
      </c>
      <c r="AB188" s="5">
        <f t="shared" si="29"/>
        <v>12.000018799999999</v>
      </c>
    </row>
    <row r="189" spans="1:28" ht="49.5" customHeight="1">
      <c r="A189" s="22">
        <v>184</v>
      </c>
      <c r="B189" s="30" t="s">
        <v>769</v>
      </c>
      <c r="C189" s="30" t="s">
        <v>73</v>
      </c>
      <c r="D189" s="29" t="s">
        <v>791</v>
      </c>
      <c r="E189" s="29" t="s">
        <v>792</v>
      </c>
      <c r="F189" s="29" t="s">
        <v>793</v>
      </c>
      <c r="G189" s="29" t="s">
        <v>356</v>
      </c>
      <c r="H189" s="29" t="s">
        <v>50</v>
      </c>
      <c r="I189" s="25">
        <f t="shared" si="20"/>
        <v>3</v>
      </c>
      <c r="J189" s="29" t="s">
        <v>119</v>
      </c>
      <c r="K189" s="25">
        <f t="shared" si="21"/>
        <v>3</v>
      </c>
      <c r="L189" s="26">
        <f t="shared" si="22"/>
        <v>9</v>
      </c>
      <c r="M189" s="29" t="s">
        <v>794</v>
      </c>
      <c r="N189" s="29"/>
      <c r="O189" s="29"/>
      <c r="P189" s="29"/>
      <c r="Q189" s="29"/>
      <c r="R189" s="29"/>
      <c r="S189" s="29"/>
      <c r="T189" s="29"/>
      <c r="U189" s="26" t="str">
        <f t="shared" si="23"/>
        <v>Medium</v>
      </c>
      <c r="V189" s="26"/>
      <c r="W189" s="26">
        <f t="shared" si="24"/>
        <v>3</v>
      </c>
      <c r="X189" s="26">
        <f t="shared" si="25"/>
        <v>3</v>
      </c>
      <c r="Y189" s="26">
        <f t="shared" si="26"/>
        <v>9</v>
      </c>
      <c r="Z189" s="26" t="str">
        <f t="shared" si="27"/>
        <v>Medium</v>
      </c>
      <c r="AA189" s="26" t="str">
        <f t="shared" si="28"/>
        <v>No Change</v>
      </c>
      <c r="AB189" s="5">
        <f t="shared" si="29"/>
        <v>9.0000189000000006</v>
      </c>
    </row>
    <row r="190" spans="1:28" ht="49.5" customHeight="1">
      <c r="A190" s="22">
        <v>185</v>
      </c>
      <c r="B190" s="30" t="s">
        <v>769</v>
      </c>
      <c r="C190" s="30" t="s">
        <v>29</v>
      </c>
      <c r="D190" s="29" t="s">
        <v>795</v>
      </c>
      <c r="E190" s="29" t="s">
        <v>796</v>
      </c>
      <c r="F190" s="29" t="s">
        <v>797</v>
      </c>
      <c r="G190" s="29" t="s">
        <v>33</v>
      </c>
      <c r="H190" s="29" t="s">
        <v>44</v>
      </c>
      <c r="I190" s="25">
        <f t="shared" si="20"/>
        <v>4</v>
      </c>
      <c r="J190" s="29" t="s">
        <v>109</v>
      </c>
      <c r="K190" s="25">
        <f t="shared" si="21"/>
        <v>2</v>
      </c>
      <c r="L190" s="26">
        <f t="shared" si="22"/>
        <v>8</v>
      </c>
      <c r="M190" s="29" t="s">
        <v>796</v>
      </c>
      <c r="N190" s="29"/>
      <c r="O190" s="29"/>
      <c r="P190" s="29"/>
      <c r="Q190" s="29"/>
      <c r="R190" s="29"/>
      <c r="S190" s="29"/>
      <c r="T190" s="29"/>
      <c r="U190" s="26" t="str">
        <f t="shared" si="23"/>
        <v>Medium</v>
      </c>
      <c r="V190" s="26"/>
      <c r="W190" s="26">
        <f t="shared" si="24"/>
        <v>4</v>
      </c>
      <c r="X190" s="26">
        <f t="shared" si="25"/>
        <v>2</v>
      </c>
      <c r="Y190" s="26">
        <f t="shared" si="26"/>
        <v>8</v>
      </c>
      <c r="Z190" s="26" t="str">
        <f t="shared" si="27"/>
        <v>Medium</v>
      </c>
      <c r="AA190" s="26" t="str">
        <f t="shared" si="28"/>
        <v>No Change</v>
      </c>
      <c r="AB190" s="5">
        <f t="shared" si="29"/>
        <v>8.000019</v>
      </c>
    </row>
    <row r="191" spans="1:28" ht="49.5" customHeight="1">
      <c r="A191" s="22">
        <v>186</v>
      </c>
      <c r="B191" s="30" t="s">
        <v>769</v>
      </c>
      <c r="C191" s="30" t="s">
        <v>73</v>
      </c>
      <c r="D191" s="29" t="s">
        <v>798</v>
      </c>
      <c r="E191" s="29" t="s">
        <v>799</v>
      </c>
      <c r="F191" s="29" t="s">
        <v>799</v>
      </c>
      <c r="G191" s="29" t="s">
        <v>58</v>
      </c>
      <c r="H191" s="29" t="s">
        <v>34</v>
      </c>
      <c r="I191" s="25">
        <f t="shared" si="20"/>
        <v>5</v>
      </c>
      <c r="J191" s="29" t="s">
        <v>119</v>
      </c>
      <c r="K191" s="25">
        <f t="shared" si="21"/>
        <v>3</v>
      </c>
      <c r="L191" s="26">
        <f t="shared" si="22"/>
        <v>15</v>
      </c>
      <c r="M191" s="29" t="s">
        <v>800</v>
      </c>
      <c r="N191" s="29"/>
      <c r="O191" s="29"/>
      <c r="P191" s="29"/>
      <c r="Q191" s="29"/>
      <c r="R191" s="29"/>
      <c r="S191" s="29"/>
      <c r="T191" s="29"/>
      <c r="U191" s="26" t="str">
        <f t="shared" si="23"/>
        <v>High</v>
      </c>
      <c r="V191" s="26"/>
      <c r="W191" s="26">
        <f t="shared" si="24"/>
        <v>5</v>
      </c>
      <c r="X191" s="26">
        <f t="shared" si="25"/>
        <v>3</v>
      </c>
      <c r="Y191" s="26">
        <f t="shared" si="26"/>
        <v>15</v>
      </c>
      <c r="Z191" s="26" t="str">
        <f t="shared" si="27"/>
        <v>High</v>
      </c>
      <c r="AA191" s="26" t="str">
        <f t="shared" si="28"/>
        <v>No Change</v>
      </c>
      <c r="AB191" s="5">
        <f t="shared" si="29"/>
        <v>15.000019099999999</v>
      </c>
    </row>
    <row r="192" spans="1:28" ht="49.5" customHeight="1">
      <c r="A192" s="22">
        <v>187</v>
      </c>
      <c r="B192" s="30" t="s">
        <v>769</v>
      </c>
      <c r="C192" s="30" t="s">
        <v>54</v>
      </c>
      <c r="D192" s="29" t="s">
        <v>801</v>
      </c>
      <c r="E192" s="29" t="s">
        <v>802</v>
      </c>
      <c r="F192" s="29" t="s">
        <v>802</v>
      </c>
      <c r="G192" s="29" t="s">
        <v>33</v>
      </c>
      <c r="H192" s="29" t="s">
        <v>34</v>
      </c>
      <c r="I192" s="25">
        <f t="shared" si="20"/>
        <v>5</v>
      </c>
      <c r="J192" s="29" t="s">
        <v>119</v>
      </c>
      <c r="K192" s="25">
        <f t="shared" si="21"/>
        <v>3</v>
      </c>
      <c r="L192" s="26">
        <f t="shared" si="22"/>
        <v>15</v>
      </c>
      <c r="M192" s="29" t="s">
        <v>803</v>
      </c>
      <c r="N192" s="29"/>
      <c r="O192" s="29"/>
      <c r="P192" s="29"/>
      <c r="Q192" s="29"/>
      <c r="R192" s="29"/>
      <c r="S192" s="29"/>
      <c r="T192" s="29"/>
      <c r="U192" s="26" t="str">
        <f t="shared" si="23"/>
        <v>High</v>
      </c>
      <c r="V192" s="26"/>
      <c r="W192" s="26">
        <f t="shared" si="24"/>
        <v>5</v>
      </c>
      <c r="X192" s="26">
        <f t="shared" si="25"/>
        <v>3</v>
      </c>
      <c r="Y192" s="26">
        <f t="shared" si="26"/>
        <v>15</v>
      </c>
      <c r="Z192" s="26" t="str">
        <f t="shared" si="27"/>
        <v>High</v>
      </c>
      <c r="AA192" s="26" t="str">
        <f t="shared" si="28"/>
        <v>No Change</v>
      </c>
      <c r="AB192" s="5">
        <f t="shared" si="29"/>
        <v>15.000019200000001</v>
      </c>
    </row>
    <row r="193" spans="1:28" ht="49.5" customHeight="1">
      <c r="A193" s="22">
        <v>188</v>
      </c>
      <c r="B193" s="30" t="s">
        <v>769</v>
      </c>
      <c r="C193" s="30" t="s">
        <v>89</v>
      </c>
      <c r="D193" s="29" t="s">
        <v>804</v>
      </c>
      <c r="E193" s="29" t="s">
        <v>805</v>
      </c>
      <c r="F193" s="29" t="s">
        <v>805</v>
      </c>
      <c r="G193" s="29" t="s">
        <v>245</v>
      </c>
      <c r="H193" s="29" t="s">
        <v>34</v>
      </c>
      <c r="I193" s="25">
        <f t="shared" si="20"/>
        <v>5</v>
      </c>
      <c r="J193" s="29" t="s">
        <v>119</v>
      </c>
      <c r="K193" s="25">
        <f t="shared" si="21"/>
        <v>3</v>
      </c>
      <c r="L193" s="26">
        <f t="shared" si="22"/>
        <v>15</v>
      </c>
      <c r="M193" s="29" t="s">
        <v>806</v>
      </c>
      <c r="N193" s="29"/>
      <c r="O193" s="29"/>
      <c r="P193" s="29"/>
      <c r="Q193" s="29"/>
      <c r="R193" s="29"/>
      <c r="S193" s="29"/>
      <c r="T193" s="29"/>
      <c r="U193" s="26" t="str">
        <f t="shared" si="23"/>
        <v>High</v>
      </c>
      <c r="V193" s="26"/>
      <c r="W193" s="26">
        <f t="shared" si="24"/>
        <v>5</v>
      </c>
      <c r="X193" s="26">
        <f t="shared" si="25"/>
        <v>3</v>
      </c>
      <c r="Y193" s="26">
        <f t="shared" si="26"/>
        <v>15</v>
      </c>
      <c r="Z193" s="26" t="str">
        <f t="shared" si="27"/>
        <v>High</v>
      </c>
      <c r="AA193" s="26" t="str">
        <f t="shared" si="28"/>
        <v>No Change</v>
      </c>
      <c r="AB193" s="5">
        <f t="shared" si="29"/>
        <v>15.0000193</v>
      </c>
    </row>
    <row r="194" spans="1:28" ht="49.5" customHeight="1">
      <c r="A194" s="22">
        <v>189</v>
      </c>
      <c r="B194" s="30" t="s">
        <v>769</v>
      </c>
      <c r="C194" s="30" t="s">
        <v>73</v>
      </c>
      <c r="D194" s="29" t="s">
        <v>807</v>
      </c>
      <c r="E194" s="29" t="s">
        <v>808</v>
      </c>
      <c r="F194" s="29" t="s">
        <v>808</v>
      </c>
      <c r="G194" s="29" t="s">
        <v>58</v>
      </c>
      <c r="H194" s="29" t="s">
        <v>108</v>
      </c>
      <c r="I194" s="25">
        <f t="shared" si="20"/>
        <v>2</v>
      </c>
      <c r="J194" s="29" t="s">
        <v>51</v>
      </c>
      <c r="K194" s="25">
        <f t="shared" si="21"/>
        <v>4</v>
      </c>
      <c r="L194" s="26">
        <f t="shared" si="22"/>
        <v>8</v>
      </c>
      <c r="M194" s="29" t="s">
        <v>809</v>
      </c>
      <c r="N194" s="29"/>
      <c r="O194" s="29"/>
      <c r="P194" s="29"/>
      <c r="Q194" s="29"/>
      <c r="R194" s="29"/>
      <c r="S194" s="29"/>
      <c r="T194" s="29"/>
      <c r="U194" s="26" t="str">
        <f t="shared" si="23"/>
        <v>Medium</v>
      </c>
      <c r="V194" s="26"/>
      <c r="W194" s="26">
        <f t="shared" si="24"/>
        <v>2</v>
      </c>
      <c r="X194" s="26">
        <f t="shared" si="25"/>
        <v>4</v>
      </c>
      <c r="Y194" s="26">
        <f t="shared" si="26"/>
        <v>8</v>
      </c>
      <c r="Z194" s="26" t="str">
        <f t="shared" si="27"/>
        <v>Medium</v>
      </c>
      <c r="AA194" s="26" t="str">
        <f t="shared" si="28"/>
        <v>No Change</v>
      </c>
      <c r="AB194" s="5">
        <f t="shared" si="29"/>
        <v>8.0000193999999993</v>
      </c>
    </row>
    <row r="195" spans="1:28" ht="49.5" customHeight="1">
      <c r="A195" s="22">
        <v>190</v>
      </c>
      <c r="B195" s="30" t="s">
        <v>769</v>
      </c>
      <c r="C195" s="30" t="s">
        <v>29</v>
      </c>
      <c r="D195" s="29" t="s">
        <v>810</v>
      </c>
      <c r="E195" s="29" t="s">
        <v>811</v>
      </c>
      <c r="F195" s="29" t="s">
        <v>811</v>
      </c>
      <c r="G195" s="29" t="s">
        <v>33</v>
      </c>
      <c r="H195" s="29" t="s">
        <v>34</v>
      </c>
      <c r="I195" s="25">
        <f t="shared" si="20"/>
        <v>5</v>
      </c>
      <c r="J195" s="29" t="s">
        <v>51</v>
      </c>
      <c r="K195" s="25">
        <f t="shared" si="21"/>
        <v>4</v>
      </c>
      <c r="L195" s="26">
        <f t="shared" si="22"/>
        <v>20</v>
      </c>
      <c r="M195" s="29" t="s">
        <v>812</v>
      </c>
      <c r="N195" s="29"/>
      <c r="O195" s="29"/>
      <c r="P195" s="29"/>
      <c r="Q195" s="29"/>
      <c r="R195" s="29"/>
      <c r="S195" s="29"/>
      <c r="T195" s="29"/>
      <c r="U195" s="26" t="str">
        <f t="shared" si="23"/>
        <v>Critical</v>
      </c>
      <c r="V195" s="26"/>
      <c r="W195" s="26">
        <f t="shared" si="24"/>
        <v>5</v>
      </c>
      <c r="X195" s="26">
        <f t="shared" si="25"/>
        <v>4</v>
      </c>
      <c r="Y195" s="26">
        <f t="shared" si="26"/>
        <v>20</v>
      </c>
      <c r="Z195" s="26" t="str">
        <f t="shared" si="27"/>
        <v>Critical</v>
      </c>
      <c r="AA195" s="26" t="str">
        <f t="shared" si="28"/>
        <v>No Change</v>
      </c>
      <c r="AB195" s="5">
        <f t="shared" si="29"/>
        <v>20.000019500000001</v>
      </c>
    </row>
    <row r="196" spans="1:28" ht="49.5" customHeight="1">
      <c r="A196" s="22">
        <v>191</v>
      </c>
      <c r="B196" s="30" t="s">
        <v>813</v>
      </c>
      <c r="C196" s="30" t="s">
        <v>39</v>
      </c>
      <c r="D196" s="29" t="s">
        <v>814</v>
      </c>
      <c r="E196" s="29" t="s">
        <v>815</v>
      </c>
      <c r="F196" s="29" t="s">
        <v>130</v>
      </c>
      <c r="G196" s="29" t="s">
        <v>33</v>
      </c>
      <c r="H196" s="29" t="s">
        <v>34</v>
      </c>
      <c r="I196" s="25">
        <f t="shared" si="20"/>
        <v>5</v>
      </c>
      <c r="J196" s="29" t="s">
        <v>35</v>
      </c>
      <c r="K196" s="25">
        <f t="shared" si="21"/>
        <v>5</v>
      </c>
      <c r="L196" s="26">
        <f t="shared" si="22"/>
        <v>25</v>
      </c>
      <c r="M196" s="29" t="s">
        <v>816</v>
      </c>
      <c r="N196" s="29"/>
      <c r="O196" s="29"/>
      <c r="P196" s="29"/>
      <c r="Q196" s="29" t="s">
        <v>716</v>
      </c>
      <c r="R196" s="29"/>
      <c r="S196" s="29"/>
      <c r="T196" s="29"/>
      <c r="U196" s="26" t="str">
        <f t="shared" si="23"/>
        <v>Critical</v>
      </c>
      <c r="V196" s="26"/>
      <c r="W196" s="26">
        <f t="shared" si="24"/>
        <v>5</v>
      </c>
      <c r="X196" s="26">
        <f t="shared" si="25"/>
        <v>5</v>
      </c>
      <c r="Y196" s="26">
        <f t="shared" si="26"/>
        <v>25</v>
      </c>
      <c r="Z196" s="26" t="str">
        <f t="shared" si="27"/>
        <v>Critical</v>
      </c>
      <c r="AA196" s="26" t="str">
        <f t="shared" si="28"/>
        <v>No Change</v>
      </c>
      <c r="AB196" s="5">
        <f t="shared" si="29"/>
        <v>25.000019600000002</v>
      </c>
    </row>
    <row r="197" spans="1:28" ht="49.5" customHeight="1">
      <c r="A197" s="22">
        <v>192</v>
      </c>
      <c r="B197" s="30" t="s">
        <v>813</v>
      </c>
      <c r="C197" s="30" t="s">
        <v>138</v>
      </c>
      <c r="D197" s="29" t="s">
        <v>817</v>
      </c>
      <c r="E197" s="29" t="s">
        <v>818</v>
      </c>
      <c r="F197" s="29" t="s">
        <v>819</v>
      </c>
      <c r="G197" s="29" t="s">
        <v>356</v>
      </c>
      <c r="H197" s="29" t="s">
        <v>108</v>
      </c>
      <c r="I197" s="25">
        <f t="shared" si="20"/>
        <v>2</v>
      </c>
      <c r="J197" s="29" t="s">
        <v>119</v>
      </c>
      <c r="K197" s="25">
        <f t="shared" si="21"/>
        <v>3</v>
      </c>
      <c r="L197" s="26">
        <f t="shared" si="22"/>
        <v>6</v>
      </c>
      <c r="M197" s="29" t="s">
        <v>820</v>
      </c>
      <c r="N197" s="29"/>
      <c r="O197" s="29"/>
      <c r="P197" s="29"/>
      <c r="Q197" s="29" t="s">
        <v>821</v>
      </c>
      <c r="R197" s="29"/>
      <c r="S197" s="29"/>
      <c r="T197" s="29"/>
      <c r="U197" s="26" t="str">
        <f t="shared" si="23"/>
        <v>Medium</v>
      </c>
      <c r="V197" s="26"/>
      <c r="W197" s="26">
        <f t="shared" si="24"/>
        <v>2</v>
      </c>
      <c r="X197" s="26">
        <f t="shared" si="25"/>
        <v>3</v>
      </c>
      <c r="Y197" s="26">
        <f t="shared" si="26"/>
        <v>6</v>
      </c>
      <c r="Z197" s="26" t="str">
        <f t="shared" si="27"/>
        <v>Medium</v>
      </c>
      <c r="AA197" s="26" t="str">
        <f t="shared" si="28"/>
        <v>No Change</v>
      </c>
      <c r="AB197" s="5">
        <f t="shared" si="29"/>
        <v>6.0000197000000002</v>
      </c>
    </row>
    <row r="198" spans="1:28" ht="49.5" customHeight="1">
      <c r="A198" s="22">
        <v>193</v>
      </c>
      <c r="B198" s="30" t="s">
        <v>813</v>
      </c>
      <c r="C198" s="30" t="s">
        <v>171</v>
      </c>
      <c r="D198" s="29" t="s">
        <v>822</v>
      </c>
      <c r="E198" s="29" t="s">
        <v>823</v>
      </c>
      <c r="F198" s="29" t="s">
        <v>824</v>
      </c>
      <c r="G198" s="29" t="s">
        <v>33</v>
      </c>
      <c r="H198" s="29" t="s">
        <v>50</v>
      </c>
      <c r="I198" s="25">
        <f t="shared" ref="I198:I261" si="30">IFERROR(IF(H198="Unlikely",1,IF(H198="Possible",2,IF(H198="Likely",3,IF(H198="Almost Certain",4,IF(H198="Certain",5,""))))),"")</f>
        <v>3</v>
      </c>
      <c r="J198" s="29" t="s">
        <v>35</v>
      </c>
      <c r="K198" s="25">
        <f t="shared" ref="K198:K261" si="31">IFERROR(IF(J198="Negligible",1,IF(J198="Minor",2,IF(J198="Moderate",3,IF(J198="Major",4,IF(J198="Critical",5,""))))),"")</f>
        <v>5</v>
      </c>
      <c r="L198" s="26">
        <f t="shared" ref="L198:L261" si="32">IF(OR(I198="",K198=""),"",I198*K198)</f>
        <v>15</v>
      </c>
      <c r="M198" s="29" t="s">
        <v>825</v>
      </c>
      <c r="N198" s="29"/>
      <c r="O198" s="29"/>
      <c r="P198" s="29"/>
      <c r="Q198" s="29" t="s">
        <v>826</v>
      </c>
      <c r="R198" s="29"/>
      <c r="S198" s="29"/>
      <c r="T198" s="29"/>
      <c r="U198" s="26" t="str">
        <f t="shared" ref="U198:U261" si="33">IF(L198="","",IF(L198&lt;=4,"Low",IF(L198&lt;=9,"Medium",IF(L198&lt;=15,"High","Critical"))))</f>
        <v>High</v>
      </c>
      <c r="V198" s="26"/>
      <c r="W198" s="26">
        <f t="shared" ref="W198:W261" si="34">IF(I198="","",MAX(1,I198-(IF(V198="Limited",1,IF(V198="Partial",2,IF(V198="Substantial",3,IF(V198="Highly Effective",4,0)))))))</f>
        <v>3</v>
      </c>
      <c r="X198" s="26">
        <f t="shared" ref="X198:X261" si="35">IF(K198="","",MAX(1,K198-ROUNDDOWN((IF(V198="Limited",1,IF(V198="Partial",2,IF(V198="Substantial",3,IF(V198="Highly Effective",4,0)))))/2,0)))</f>
        <v>5</v>
      </c>
      <c r="Y198" s="26">
        <f t="shared" ref="Y198:Y261" si="36">IF(OR(W198="",X198=""),"",W198*X198)</f>
        <v>15</v>
      </c>
      <c r="Z198" s="26" t="str">
        <f t="shared" ref="Z198:Z261" si="37">IF(Y198="","",IF(Y198&lt;=4,"Low",IF(Y198&lt;=9,"Medium",IF(Y198&lt;=15,"High","Critical"))))</f>
        <v>High</v>
      </c>
      <c r="AA198" s="26" t="str">
        <f t="shared" ref="AA198:AA261" si="38">IF(OR(L198="",Y198=""),"",IF(Y198&lt;L198,"Reduced by "&amp;(L198-Y198)&amp;" pts",IF(Y198=L198,"No Change","Increased by "&amp;(Y198-L198)&amp;" pts")))</f>
        <v>No Change</v>
      </c>
      <c r="AB198" s="5">
        <f t="shared" ref="AB198:AB261" si="39">IF(Y198="","",Y198+(ROW()/10000000))</f>
        <v>15.0000198</v>
      </c>
    </row>
    <row r="199" spans="1:28" ht="49.5" customHeight="1">
      <c r="A199" s="22">
        <v>194</v>
      </c>
      <c r="B199" s="30" t="s">
        <v>813</v>
      </c>
      <c r="C199" s="30" t="s">
        <v>54</v>
      </c>
      <c r="D199" s="29" t="s">
        <v>827</v>
      </c>
      <c r="E199" s="29" t="s">
        <v>828</v>
      </c>
      <c r="F199" s="29" t="s">
        <v>829</v>
      </c>
      <c r="G199" s="29" t="s">
        <v>99</v>
      </c>
      <c r="H199" s="29" t="s">
        <v>108</v>
      </c>
      <c r="I199" s="25">
        <f t="shared" si="30"/>
        <v>2</v>
      </c>
      <c r="J199" s="29" t="s">
        <v>51</v>
      </c>
      <c r="K199" s="25">
        <f t="shared" si="31"/>
        <v>4</v>
      </c>
      <c r="L199" s="26">
        <f t="shared" si="32"/>
        <v>8</v>
      </c>
      <c r="M199" s="29" t="s">
        <v>830</v>
      </c>
      <c r="N199" s="29"/>
      <c r="O199" s="29"/>
      <c r="P199" s="29"/>
      <c r="Q199" s="29" t="s">
        <v>831</v>
      </c>
      <c r="R199" s="29"/>
      <c r="S199" s="29"/>
      <c r="T199" s="29"/>
      <c r="U199" s="26" t="str">
        <f t="shared" si="33"/>
        <v>Medium</v>
      </c>
      <c r="V199" s="26"/>
      <c r="W199" s="26">
        <f t="shared" si="34"/>
        <v>2</v>
      </c>
      <c r="X199" s="26">
        <f t="shared" si="35"/>
        <v>4</v>
      </c>
      <c r="Y199" s="26">
        <f t="shared" si="36"/>
        <v>8</v>
      </c>
      <c r="Z199" s="26" t="str">
        <f t="shared" si="37"/>
        <v>Medium</v>
      </c>
      <c r="AA199" s="26" t="str">
        <f t="shared" si="38"/>
        <v>No Change</v>
      </c>
      <c r="AB199" s="5">
        <f t="shared" si="39"/>
        <v>8.0000198999999999</v>
      </c>
    </row>
    <row r="200" spans="1:28" ht="49.5" customHeight="1">
      <c r="A200" s="22">
        <v>195</v>
      </c>
      <c r="B200" s="30" t="s">
        <v>813</v>
      </c>
      <c r="C200" s="30" t="s">
        <v>54</v>
      </c>
      <c r="D200" s="29" t="s">
        <v>832</v>
      </c>
      <c r="E200" s="29" t="s">
        <v>833</v>
      </c>
      <c r="F200" s="29" t="s">
        <v>834</v>
      </c>
      <c r="G200" s="29" t="s">
        <v>99</v>
      </c>
      <c r="H200" s="29" t="s">
        <v>108</v>
      </c>
      <c r="I200" s="25">
        <f t="shared" si="30"/>
        <v>2</v>
      </c>
      <c r="J200" s="29" t="s">
        <v>35</v>
      </c>
      <c r="K200" s="25">
        <f t="shared" si="31"/>
        <v>5</v>
      </c>
      <c r="L200" s="26">
        <f t="shared" si="32"/>
        <v>10</v>
      </c>
      <c r="M200" s="29" t="s">
        <v>833</v>
      </c>
      <c r="N200" s="29"/>
      <c r="O200" s="29"/>
      <c r="P200" s="29"/>
      <c r="Q200" s="29" t="s">
        <v>831</v>
      </c>
      <c r="R200" s="29"/>
      <c r="S200" s="29"/>
      <c r="T200" s="29"/>
      <c r="U200" s="26" t="str">
        <f t="shared" si="33"/>
        <v>High</v>
      </c>
      <c r="V200" s="26"/>
      <c r="W200" s="26">
        <f t="shared" si="34"/>
        <v>2</v>
      </c>
      <c r="X200" s="26">
        <f t="shared" si="35"/>
        <v>5</v>
      </c>
      <c r="Y200" s="26">
        <f t="shared" si="36"/>
        <v>10</v>
      </c>
      <c r="Z200" s="26" t="str">
        <f t="shared" si="37"/>
        <v>High</v>
      </c>
      <c r="AA200" s="26" t="str">
        <f t="shared" si="38"/>
        <v>No Change</v>
      </c>
      <c r="AB200" s="5">
        <f t="shared" si="39"/>
        <v>10.000019999999999</v>
      </c>
    </row>
    <row r="201" spans="1:28" ht="49.5" customHeight="1">
      <c r="A201" s="22">
        <v>196</v>
      </c>
      <c r="B201" s="30" t="s">
        <v>813</v>
      </c>
      <c r="C201" s="30" t="s">
        <v>73</v>
      </c>
      <c r="D201" s="29" t="s">
        <v>835</v>
      </c>
      <c r="E201" s="29" t="s">
        <v>836</v>
      </c>
      <c r="F201" s="29" t="s">
        <v>837</v>
      </c>
      <c r="G201" s="29" t="s">
        <v>58</v>
      </c>
      <c r="H201" s="29" t="s">
        <v>50</v>
      </c>
      <c r="I201" s="25">
        <f t="shared" si="30"/>
        <v>3</v>
      </c>
      <c r="J201" s="29" t="s">
        <v>119</v>
      </c>
      <c r="K201" s="25">
        <f t="shared" si="31"/>
        <v>3</v>
      </c>
      <c r="L201" s="26">
        <f t="shared" si="32"/>
        <v>9</v>
      </c>
      <c r="M201" s="29" t="s">
        <v>838</v>
      </c>
      <c r="N201" s="29"/>
      <c r="O201" s="29"/>
      <c r="P201" s="29"/>
      <c r="Q201" s="29" t="s">
        <v>839</v>
      </c>
      <c r="R201" s="29"/>
      <c r="S201" s="29"/>
      <c r="T201" s="29"/>
      <c r="U201" s="26" t="str">
        <f t="shared" si="33"/>
        <v>Medium</v>
      </c>
      <c r="V201" s="26"/>
      <c r="W201" s="26">
        <f t="shared" si="34"/>
        <v>3</v>
      </c>
      <c r="X201" s="26">
        <f t="shared" si="35"/>
        <v>3</v>
      </c>
      <c r="Y201" s="26">
        <f t="shared" si="36"/>
        <v>9</v>
      </c>
      <c r="Z201" s="26" t="str">
        <f t="shared" si="37"/>
        <v>Medium</v>
      </c>
      <c r="AA201" s="26" t="str">
        <f t="shared" si="38"/>
        <v>No Change</v>
      </c>
      <c r="AB201" s="5">
        <f t="shared" si="39"/>
        <v>9.0000201000000004</v>
      </c>
    </row>
    <row r="202" spans="1:28" ht="49.5" customHeight="1">
      <c r="A202" s="22">
        <v>197</v>
      </c>
      <c r="B202" s="30" t="s">
        <v>813</v>
      </c>
      <c r="C202" s="30" t="s">
        <v>61</v>
      </c>
      <c r="D202" s="29" t="s">
        <v>840</v>
      </c>
      <c r="E202" s="29" t="s">
        <v>841</v>
      </c>
      <c r="F202" s="29" t="s">
        <v>842</v>
      </c>
      <c r="G202" s="29" t="s">
        <v>245</v>
      </c>
      <c r="H202" s="29" t="s">
        <v>50</v>
      </c>
      <c r="I202" s="25">
        <f t="shared" si="30"/>
        <v>3</v>
      </c>
      <c r="J202" s="29" t="s">
        <v>119</v>
      </c>
      <c r="K202" s="25">
        <f t="shared" si="31"/>
        <v>3</v>
      </c>
      <c r="L202" s="26">
        <f t="shared" si="32"/>
        <v>9</v>
      </c>
      <c r="M202" s="29" t="s">
        <v>843</v>
      </c>
      <c r="N202" s="29"/>
      <c r="O202" s="29"/>
      <c r="P202" s="29"/>
      <c r="Q202" s="29" t="s">
        <v>844</v>
      </c>
      <c r="R202" s="29"/>
      <c r="S202" s="29"/>
      <c r="T202" s="29"/>
      <c r="U202" s="26" t="str">
        <f t="shared" si="33"/>
        <v>Medium</v>
      </c>
      <c r="V202" s="26"/>
      <c r="W202" s="26">
        <f t="shared" si="34"/>
        <v>3</v>
      </c>
      <c r="X202" s="26">
        <f t="shared" si="35"/>
        <v>3</v>
      </c>
      <c r="Y202" s="26">
        <f t="shared" si="36"/>
        <v>9</v>
      </c>
      <c r="Z202" s="26" t="str">
        <f t="shared" si="37"/>
        <v>Medium</v>
      </c>
      <c r="AA202" s="26" t="str">
        <f t="shared" si="38"/>
        <v>No Change</v>
      </c>
      <c r="AB202" s="5">
        <f t="shared" si="39"/>
        <v>9.0000201999999998</v>
      </c>
    </row>
    <row r="203" spans="1:28" ht="49.5" customHeight="1">
      <c r="A203" s="22">
        <v>198</v>
      </c>
      <c r="B203" s="30" t="s">
        <v>813</v>
      </c>
      <c r="C203" s="30" t="s">
        <v>39</v>
      </c>
      <c r="D203" s="29" t="s">
        <v>845</v>
      </c>
      <c r="E203" s="29" t="s">
        <v>846</v>
      </c>
      <c r="F203" s="29" t="s">
        <v>847</v>
      </c>
      <c r="G203" s="29" t="s">
        <v>58</v>
      </c>
      <c r="H203" s="29" t="s">
        <v>108</v>
      </c>
      <c r="I203" s="25">
        <f t="shared" si="30"/>
        <v>2</v>
      </c>
      <c r="J203" s="29" t="s">
        <v>119</v>
      </c>
      <c r="K203" s="25">
        <f t="shared" si="31"/>
        <v>3</v>
      </c>
      <c r="L203" s="26">
        <f t="shared" si="32"/>
        <v>6</v>
      </c>
      <c r="M203" s="29" t="s">
        <v>848</v>
      </c>
      <c r="N203" s="29"/>
      <c r="O203" s="29"/>
      <c r="P203" s="29"/>
      <c r="Q203" s="29" t="s">
        <v>849</v>
      </c>
      <c r="R203" s="29"/>
      <c r="S203" s="29"/>
      <c r="T203" s="29"/>
      <c r="U203" s="26" t="str">
        <f t="shared" si="33"/>
        <v>Medium</v>
      </c>
      <c r="V203" s="26"/>
      <c r="W203" s="26">
        <f t="shared" si="34"/>
        <v>2</v>
      </c>
      <c r="X203" s="26">
        <f t="shared" si="35"/>
        <v>3</v>
      </c>
      <c r="Y203" s="26">
        <f t="shared" si="36"/>
        <v>6</v>
      </c>
      <c r="Z203" s="26" t="str">
        <f t="shared" si="37"/>
        <v>Medium</v>
      </c>
      <c r="AA203" s="26" t="str">
        <f t="shared" si="38"/>
        <v>No Change</v>
      </c>
      <c r="AB203" s="5">
        <f t="shared" si="39"/>
        <v>6.0000203000000001</v>
      </c>
    </row>
    <row r="204" spans="1:28" ht="49.5" customHeight="1">
      <c r="A204" s="22">
        <v>199</v>
      </c>
      <c r="B204" s="30" t="s">
        <v>813</v>
      </c>
      <c r="C204" s="30" t="s">
        <v>73</v>
      </c>
      <c r="D204" s="29" t="s">
        <v>850</v>
      </c>
      <c r="E204" s="29" t="s">
        <v>851</v>
      </c>
      <c r="F204" s="29" t="s">
        <v>852</v>
      </c>
      <c r="G204" s="29" t="s">
        <v>58</v>
      </c>
      <c r="H204" s="29" t="s">
        <v>50</v>
      </c>
      <c r="I204" s="25">
        <f t="shared" si="30"/>
        <v>3</v>
      </c>
      <c r="J204" s="29" t="s">
        <v>119</v>
      </c>
      <c r="K204" s="25">
        <f t="shared" si="31"/>
        <v>3</v>
      </c>
      <c r="L204" s="26">
        <f t="shared" si="32"/>
        <v>9</v>
      </c>
      <c r="M204" s="29" t="s">
        <v>853</v>
      </c>
      <c r="N204" s="29"/>
      <c r="O204" s="29"/>
      <c r="P204" s="29"/>
      <c r="Q204" s="29" t="s">
        <v>854</v>
      </c>
      <c r="R204" s="29"/>
      <c r="S204" s="29"/>
      <c r="T204" s="29"/>
      <c r="U204" s="26" t="str">
        <f t="shared" si="33"/>
        <v>Medium</v>
      </c>
      <c r="V204" s="26"/>
      <c r="W204" s="26">
        <f t="shared" si="34"/>
        <v>3</v>
      </c>
      <c r="X204" s="26">
        <f t="shared" si="35"/>
        <v>3</v>
      </c>
      <c r="Y204" s="26">
        <f t="shared" si="36"/>
        <v>9</v>
      </c>
      <c r="Z204" s="26" t="str">
        <f t="shared" si="37"/>
        <v>Medium</v>
      </c>
      <c r="AA204" s="26" t="str">
        <f t="shared" si="38"/>
        <v>No Change</v>
      </c>
      <c r="AB204" s="5">
        <f t="shared" si="39"/>
        <v>9.0000204000000004</v>
      </c>
    </row>
    <row r="205" spans="1:28" ht="49.5" customHeight="1">
      <c r="A205" s="22">
        <v>200</v>
      </c>
      <c r="B205" s="30" t="s">
        <v>813</v>
      </c>
      <c r="C205" s="30" t="s">
        <v>73</v>
      </c>
      <c r="D205" s="29" t="s">
        <v>855</v>
      </c>
      <c r="E205" s="29" t="s">
        <v>856</v>
      </c>
      <c r="F205" s="29" t="s">
        <v>857</v>
      </c>
      <c r="G205" s="29" t="s">
        <v>58</v>
      </c>
      <c r="H205" s="29" t="s">
        <v>50</v>
      </c>
      <c r="I205" s="25">
        <f t="shared" si="30"/>
        <v>3</v>
      </c>
      <c r="J205" s="29" t="s">
        <v>51</v>
      </c>
      <c r="K205" s="25">
        <f t="shared" si="31"/>
        <v>4</v>
      </c>
      <c r="L205" s="26">
        <f t="shared" si="32"/>
        <v>12</v>
      </c>
      <c r="M205" s="29" t="s">
        <v>858</v>
      </c>
      <c r="N205" s="29"/>
      <c r="O205" s="29"/>
      <c r="P205" s="29"/>
      <c r="Q205" s="29" t="s">
        <v>859</v>
      </c>
      <c r="R205" s="29"/>
      <c r="S205" s="29"/>
      <c r="T205" s="29"/>
      <c r="U205" s="26" t="str">
        <f t="shared" si="33"/>
        <v>High</v>
      </c>
      <c r="V205" s="26"/>
      <c r="W205" s="26">
        <f t="shared" si="34"/>
        <v>3</v>
      </c>
      <c r="X205" s="26">
        <f t="shared" si="35"/>
        <v>4</v>
      </c>
      <c r="Y205" s="26">
        <f t="shared" si="36"/>
        <v>12</v>
      </c>
      <c r="Z205" s="26" t="str">
        <f t="shared" si="37"/>
        <v>High</v>
      </c>
      <c r="AA205" s="26" t="str">
        <f t="shared" si="38"/>
        <v>No Change</v>
      </c>
      <c r="AB205" s="5">
        <f t="shared" si="39"/>
        <v>12.0000205</v>
      </c>
    </row>
    <row r="206" spans="1:28" ht="49.5" customHeight="1">
      <c r="A206" s="22">
        <v>201</v>
      </c>
      <c r="B206" s="30" t="s">
        <v>860</v>
      </c>
      <c r="C206" s="30" t="s">
        <v>89</v>
      </c>
      <c r="D206" s="29" t="s">
        <v>861</v>
      </c>
      <c r="E206" s="29" t="s">
        <v>862</v>
      </c>
      <c r="F206" s="29" t="s">
        <v>863</v>
      </c>
      <c r="G206" s="29" t="s">
        <v>33</v>
      </c>
      <c r="H206" s="29" t="s">
        <v>50</v>
      </c>
      <c r="I206" s="25">
        <f t="shared" si="30"/>
        <v>3</v>
      </c>
      <c r="J206" s="29" t="s">
        <v>51</v>
      </c>
      <c r="K206" s="25">
        <f t="shared" si="31"/>
        <v>4</v>
      </c>
      <c r="L206" s="26">
        <f t="shared" si="32"/>
        <v>12</v>
      </c>
      <c r="M206" s="29" t="s">
        <v>864</v>
      </c>
      <c r="N206" s="29"/>
      <c r="O206" s="29"/>
      <c r="P206" s="29"/>
      <c r="Q206" s="29" t="s">
        <v>865</v>
      </c>
      <c r="R206" s="29"/>
      <c r="S206" s="29"/>
      <c r="T206" s="29"/>
      <c r="U206" s="26" t="str">
        <f t="shared" si="33"/>
        <v>High</v>
      </c>
      <c r="V206" s="26"/>
      <c r="W206" s="26">
        <f t="shared" si="34"/>
        <v>3</v>
      </c>
      <c r="X206" s="26">
        <f t="shared" si="35"/>
        <v>4</v>
      </c>
      <c r="Y206" s="26">
        <f t="shared" si="36"/>
        <v>12</v>
      </c>
      <c r="Z206" s="26" t="str">
        <f t="shared" si="37"/>
        <v>High</v>
      </c>
      <c r="AA206" s="26" t="str">
        <f t="shared" si="38"/>
        <v>No Change</v>
      </c>
      <c r="AB206" s="5">
        <f t="shared" si="39"/>
        <v>12.000020599999999</v>
      </c>
    </row>
    <row r="207" spans="1:28" ht="49.5" customHeight="1">
      <c r="A207" s="22">
        <v>202</v>
      </c>
      <c r="B207" s="30" t="s">
        <v>860</v>
      </c>
      <c r="C207" s="30" t="s">
        <v>54</v>
      </c>
      <c r="D207" s="29" t="s">
        <v>866</v>
      </c>
      <c r="E207" s="29" t="s">
        <v>867</v>
      </c>
      <c r="F207" s="29" t="s">
        <v>868</v>
      </c>
      <c r="G207" s="29" t="s">
        <v>99</v>
      </c>
      <c r="H207" s="29" t="s">
        <v>50</v>
      </c>
      <c r="I207" s="25">
        <f t="shared" si="30"/>
        <v>3</v>
      </c>
      <c r="J207" s="29" t="s">
        <v>51</v>
      </c>
      <c r="K207" s="25">
        <f t="shared" si="31"/>
        <v>4</v>
      </c>
      <c r="L207" s="26">
        <f t="shared" si="32"/>
        <v>12</v>
      </c>
      <c r="M207" s="29" t="s">
        <v>869</v>
      </c>
      <c r="N207" s="29"/>
      <c r="O207" s="29"/>
      <c r="P207" s="29"/>
      <c r="Q207" s="29" t="s">
        <v>870</v>
      </c>
      <c r="R207" s="29"/>
      <c r="S207" s="29"/>
      <c r="T207" s="29"/>
      <c r="U207" s="26" t="str">
        <f t="shared" si="33"/>
        <v>High</v>
      </c>
      <c r="V207" s="26"/>
      <c r="W207" s="26">
        <f t="shared" si="34"/>
        <v>3</v>
      </c>
      <c r="X207" s="26">
        <f t="shared" si="35"/>
        <v>4</v>
      </c>
      <c r="Y207" s="26">
        <f t="shared" si="36"/>
        <v>12</v>
      </c>
      <c r="Z207" s="26" t="str">
        <f t="shared" si="37"/>
        <v>High</v>
      </c>
      <c r="AA207" s="26" t="str">
        <f t="shared" si="38"/>
        <v>No Change</v>
      </c>
      <c r="AB207" s="5">
        <f t="shared" si="39"/>
        <v>12.0000207</v>
      </c>
    </row>
    <row r="208" spans="1:28" ht="49.5" customHeight="1">
      <c r="A208" s="22">
        <v>203</v>
      </c>
      <c r="B208" s="30" t="s">
        <v>860</v>
      </c>
      <c r="C208" s="30" t="s">
        <v>171</v>
      </c>
      <c r="D208" s="29" t="s">
        <v>871</v>
      </c>
      <c r="E208" s="29" t="s">
        <v>872</v>
      </c>
      <c r="F208" s="29" t="s">
        <v>873</v>
      </c>
      <c r="G208" s="29" t="s">
        <v>33</v>
      </c>
      <c r="H208" s="29" t="s">
        <v>44</v>
      </c>
      <c r="I208" s="25">
        <f t="shared" si="30"/>
        <v>4</v>
      </c>
      <c r="J208" s="29" t="s">
        <v>51</v>
      </c>
      <c r="K208" s="25">
        <f t="shared" si="31"/>
        <v>4</v>
      </c>
      <c r="L208" s="26">
        <f t="shared" si="32"/>
        <v>16</v>
      </c>
      <c r="M208" s="29" t="s">
        <v>874</v>
      </c>
      <c r="N208" s="29"/>
      <c r="O208" s="29"/>
      <c r="P208" s="29"/>
      <c r="Q208" s="29" t="s">
        <v>875</v>
      </c>
      <c r="R208" s="29"/>
      <c r="S208" s="29"/>
      <c r="T208" s="29"/>
      <c r="U208" s="26" t="str">
        <f t="shared" si="33"/>
        <v>Critical</v>
      </c>
      <c r="V208" s="26"/>
      <c r="W208" s="26">
        <f t="shared" si="34"/>
        <v>4</v>
      </c>
      <c r="X208" s="26">
        <f t="shared" si="35"/>
        <v>4</v>
      </c>
      <c r="Y208" s="26">
        <f t="shared" si="36"/>
        <v>16</v>
      </c>
      <c r="Z208" s="26" t="str">
        <f t="shared" si="37"/>
        <v>Critical</v>
      </c>
      <c r="AA208" s="26" t="str">
        <f t="shared" si="38"/>
        <v>No Change</v>
      </c>
      <c r="AB208" s="5">
        <f t="shared" si="39"/>
        <v>16.000020800000001</v>
      </c>
    </row>
    <row r="209" spans="1:28" ht="49.5" customHeight="1">
      <c r="A209" s="22">
        <v>204</v>
      </c>
      <c r="B209" s="30" t="s">
        <v>860</v>
      </c>
      <c r="C209" s="30" t="s">
        <v>184</v>
      </c>
      <c r="D209" s="29" t="s">
        <v>876</v>
      </c>
      <c r="E209" s="29" t="s">
        <v>877</v>
      </c>
      <c r="F209" s="29" t="s">
        <v>878</v>
      </c>
      <c r="G209" s="29" t="s">
        <v>33</v>
      </c>
      <c r="H209" s="29" t="s">
        <v>50</v>
      </c>
      <c r="I209" s="25">
        <f t="shared" si="30"/>
        <v>3</v>
      </c>
      <c r="J209" s="29" t="s">
        <v>35</v>
      </c>
      <c r="K209" s="25">
        <f t="shared" si="31"/>
        <v>5</v>
      </c>
      <c r="L209" s="26">
        <f t="shared" si="32"/>
        <v>15</v>
      </c>
      <c r="M209" s="29" t="s">
        <v>879</v>
      </c>
      <c r="N209" s="29"/>
      <c r="O209" s="29"/>
      <c r="P209" s="29"/>
      <c r="Q209" s="29" t="s">
        <v>880</v>
      </c>
      <c r="R209" s="29"/>
      <c r="S209" s="29"/>
      <c r="T209" s="29"/>
      <c r="U209" s="26" t="str">
        <f t="shared" si="33"/>
        <v>High</v>
      </c>
      <c r="V209" s="26"/>
      <c r="W209" s="26">
        <f t="shared" si="34"/>
        <v>3</v>
      </c>
      <c r="X209" s="26">
        <f t="shared" si="35"/>
        <v>5</v>
      </c>
      <c r="Y209" s="26">
        <f t="shared" si="36"/>
        <v>15</v>
      </c>
      <c r="Z209" s="26" t="str">
        <f t="shared" si="37"/>
        <v>High</v>
      </c>
      <c r="AA209" s="26" t="str">
        <f t="shared" si="38"/>
        <v>No Change</v>
      </c>
      <c r="AB209" s="5">
        <f t="shared" si="39"/>
        <v>15.000020900000001</v>
      </c>
    </row>
    <row r="210" spans="1:28" ht="49.5" customHeight="1">
      <c r="A210" s="22">
        <v>205</v>
      </c>
      <c r="B210" s="30" t="s">
        <v>860</v>
      </c>
      <c r="C210" s="30" t="s">
        <v>39</v>
      </c>
      <c r="D210" s="29" t="s">
        <v>881</v>
      </c>
      <c r="E210" s="29" t="s">
        <v>882</v>
      </c>
      <c r="F210" s="29" t="s">
        <v>883</v>
      </c>
      <c r="G210" s="29" t="s">
        <v>245</v>
      </c>
      <c r="H210" s="29" t="s">
        <v>50</v>
      </c>
      <c r="I210" s="25">
        <f t="shared" si="30"/>
        <v>3</v>
      </c>
      <c r="J210" s="29" t="s">
        <v>51</v>
      </c>
      <c r="K210" s="25">
        <f t="shared" si="31"/>
        <v>4</v>
      </c>
      <c r="L210" s="26">
        <f t="shared" si="32"/>
        <v>12</v>
      </c>
      <c r="M210" s="29" t="s">
        <v>884</v>
      </c>
      <c r="N210" s="29"/>
      <c r="O210" s="29"/>
      <c r="P210" s="29"/>
      <c r="Q210" s="29" t="s">
        <v>885</v>
      </c>
      <c r="R210" s="29"/>
      <c r="S210" s="29"/>
      <c r="T210" s="29"/>
      <c r="U210" s="26" t="str">
        <f t="shared" si="33"/>
        <v>High</v>
      </c>
      <c r="V210" s="26"/>
      <c r="W210" s="26">
        <f t="shared" si="34"/>
        <v>3</v>
      </c>
      <c r="X210" s="26">
        <f t="shared" si="35"/>
        <v>4</v>
      </c>
      <c r="Y210" s="26">
        <f t="shared" si="36"/>
        <v>12</v>
      </c>
      <c r="Z210" s="26" t="str">
        <f t="shared" si="37"/>
        <v>High</v>
      </c>
      <c r="AA210" s="26" t="str">
        <f t="shared" si="38"/>
        <v>No Change</v>
      </c>
      <c r="AB210" s="5">
        <f t="shared" si="39"/>
        <v>12.000021</v>
      </c>
    </row>
    <row r="211" spans="1:28" ht="49.5" customHeight="1">
      <c r="A211" s="22">
        <v>206</v>
      </c>
      <c r="B211" s="30" t="s">
        <v>860</v>
      </c>
      <c r="C211" s="30" t="s">
        <v>29</v>
      </c>
      <c r="D211" s="29" t="s">
        <v>886</v>
      </c>
      <c r="E211" s="29" t="s">
        <v>887</v>
      </c>
      <c r="F211" s="29" t="s">
        <v>888</v>
      </c>
      <c r="G211" s="29" t="s">
        <v>33</v>
      </c>
      <c r="H211" s="29" t="s">
        <v>50</v>
      </c>
      <c r="I211" s="25">
        <f t="shared" si="30"/>
        <v>3</v>
      </c>
      <c r="J211" s="29" t="s">
        <v>119</v>
      </c>
      <c r="K211" s="25">
        <f t="shared" si="31"/>
        <v>3</v>
      </c>
      <c r="L211" s="26">
        <f t="shared" si="32"/>
        <v>9</v>
      </c>
      <c r="M211" s="29" t="s">
        <v>889</v>
      </c>
      <c r="N211" s="29"/>
      <c r="O211" s="29"/>
      <c r="P211" s="29"/>
      <c r="Q211" s="29" t="s">
        <v>890</v>
      </c>
      <c r="R211" s="29"/>
      <c r="S211" s="29"/>
      <c r="T211" s="29"/>
      <c r="U211" s="26" t="str">
        <f t="shared" si="33"/>
        <v>Medium</v>
      </c>
      <c r="V211" s="26"/>
      <c r="W211" s="26">
        <f t="shared" si="34"/>
        <v>3</v>
      </c>
      <c r="X211" s="26">
        <f t="shared" si="35"/>
        <v>3</v>
      </c>
      <c r="Y211" s="26">
        <f t="shared" si="36"/>
        <v>9</v>
      </c>
      <c r="Z211" s="26" t="str">
        <f t="shared" si="37"/>
        <v>Medium</v>
      </c>
      <c r="AA211" s="26" t="str">
        <f t="shared" si="38"/>
        <v>No Change</v>
      </c>
      <c r="AB211" s="5">
        <f t="shared" si="39"/>
        <v>9.0000210999999997</v>
      </c>
    </row>
    <row r="212" spans="1:28" ht="49.5" customHeight="1">
      <c r="A212" s="22">
        <v>207</v>
      </c>
      <c r="B212" s="30" t="s">
        <v>860</v>
      </c>
      <c r="C212" s="30" t="s">
        <v>73</v>
      </c>
      <c r="D212" s="29" t="s">
        <v>891</v>
      </c>
      <c r="E212" s="29" t="s">
        <v>892</v>
      </c>
      <c r="F212" s="29" t="s">
        <v>893</v>
      </c>
      <c r="G212" s="29" t="s">
        <v>58</v>
      </c>
      <c r="H212" s="29" t="s">
        <v>50</v>
      </c>
      <c r="I212" s="25">
        <f t="shared" si="30"/>
        <v>3</v>
      </c>
      <c r="J212" s="29" t="s">
        <v>51</v>
      </c>
      <c r="K212" s="25">
        <f t="shared" si="31"/>
        <v>4</v>
      </c>
      <c r="L212" s="26">
        <f t="shared" si="32"/>
        <v>12</v>
      </c>
      <c r="M212" s="29" t="s">
        <v>894</v>
      </c>
      <c r="N212" s="29"/>
      <c r="O212" s="29"/>
      <c r="P212" s="29"/>
      <c r="Q212" s="29" t="s">
        <v>895</v>
      </c>
      <c r="R212" s="29"/>
      <c r="S212" s="29"/>
      <c r="T212" s="29"/>
      <c r="U212" s="26" t="str">
        <f t="shared" si="33"/>
        <v>High</v>
      </c>
      <c r="V212" s="26"/>
      <c r="W212" s="26">
        <f t="shared" si="34"/>
        <v>3</v>
      </c>
      <c r="X212" s="26">
        <f t="shared" si="35"/>
        <v>4</v>
      </c>
      <c r="Y212" s="26">
        <f t="shared" si="36"/>
        <v>12</v>
      </c>
      <c r="Z212" s="26" t="str">
        <f t="shared" si="37"/>
        <v>High</v>
      </c>
      <c r="AA212" s="26" t="str">
        <f t="shared" si="38"/>
        <v>No Change</v>
      </c>
      <c r="AB212" s="5">
        <f t="shared" si="39"/>
        <v>12.000021200000001</v>
      </c>
    </row>
    <row r="213" spans="1:28" ht="49.5" customHeight="1">
      <c r="A213" s="22">
        <v>208</v>
      </c>
      <c r="B213" s="30" t="s">
        <v>860</v>
      </c>
      <c r="C213" s="30" t="s">
        <v>171</v>
      </c>
      <c r="D213" s="29" t="s">
        <v>896</v>
      </c>
      <c r="E213" s="29" t="s">
        <v>897</v>
      </c>
      <c r="F213" s="29" t="s">
        <v>898</v>
      </c>
      <c r="G213" s="29" t="s">
        <v>356</v>
      </c>
      <c r="H213" s="29" t="s">
        <v>108</v>
      </c>
      <c r="I213" s="25">
        <f t="shared" si="30"/>
        <v>2</v>
      </c>
      <c r="J213" s="29" t="s">
        <v>35</v>
      </c>
      <c r="K213" s="25">
        <f t="shared" si="31"/>
        <v>5</v>
      </c>
      <c r="L213" s="26">
        <f t="shared" si="32"/>
        <v>10</v>
      </c>
      <c r="M213" s="29" t="s">
        <v>899</v>
      </c>
      <c r="N213" s="29"/>
      <c r="O213" s="29"/>
      <c r="P213" s="29"/>
      <c r="Q213" s="29" t="s">
        <v>900</v>
      </c>
      <c r="R213" s="29"/>
      <c r="S213" s="29"/>
      <c r="T213" s="29"/>
      <c r="U213" s="26" t="str">
        <f t="shared" si="33"/>
        <v>High</v>
      </c>
      <c r="V213" s="26"/>
      <c r="W213" s="26">
        <f t="shared" si="34"/>
        <v>2</v>
      </c>
      <c r="X213" s="26">
        <f t="shared" si="35"/>
        <v>5</v>
      </c>
      <c r="Y213" s="26">
        <f t="shared" si="36"/>
        <v>10</v>
      </c>
      <c r="Z213" s="26" t="str">
        <f t="shared" si="37"/>
        <v>High</v>
      </c>
      <c r="AA213" s="26" t="str">
        <f t="shared" si="38"/>
        <v>No Change</v>
      </c>
      <c r="AB213" s="5">
        <f t="shared" si="39"/>
        <v>10.0000213</v>
      </c>
    </row>
    <row r="214" spans="1:28" ht="49.5" customHeight="1">
      <c r="A214" s="22">
        <v>209</v>
      </c>
      <c r="B214" s="30" t="s">
        <v>860</v>
      </c>
      <c r="C214" s="30" t="s">
        <v>73</v>
      </c>
      <c r="D214" s="29" t="s">
        <v>901</v>
      </c>
      <c r="E214" s="29" t="s">
        <v>902</v>
      </c>
      <c r="F214" s="29" t="s">
        <v>903</v>
      </c>
      <c r="G214" s="29" t="s">
        <v>70</v>
      </c>
      <c r="H214" s="29" t="s">
        <v>44</v>
      </c>
      <c r="I214" s="25">
        <f t="shared" si="30"/>
        <v>4</v>
      </c>
      <c r="J214" s="29" t="s">
        <v>51</v>
      </c>
      <c r="K214" s="25">
        <f t="shared" si="31"/>
        <v>4</v>
      </c>
      <c r="L214" s="26">
        <f t="shared" si="32"/>
        <v>16</v>
      </c>
      <c r="M214" s="29" t="s">
        <v>904</v>
      </c>
      <c r="N214" s="29"/>
      <c r="O214" s="29"/>
      <c r="P214" s="29"/>
      <c r="Q214" s="29" t="s">
        <v>905</v>
      </c>
      <c r="R214" s="29"/>
      <c r="S214" s="29"/>
      <c r="T214" s="29"/>
      <c r="U214" s="26" t="str">
        <f t="shared" si="33"/>
        <v>Critical</v>
      </c>
      <c r="V214" s="26"/>
      <c r="W214" s="26">
        <f t="shared" si="34"/>
        <v>4</v>
      </c>
      <c r="X214" s="26">
        <f t="shared" si="35"/>
        <v>4</v>
      </c>
      <c r="Y214" s="26">
        <f t="shared" si="36"/>
        <v>16</v>
      </c>
      <c r="Z214" s="26" t="str">
        <f t="shared" si="37"/>
        <v>Critical</v>
      </c>
      <c r="AA214" s="26" t="str">
        <f t="shared" si="38"/>
        <v>No Change</v>
      </c>
      <c r="AB214" s="5">
        <f t="shared" si="39"/>
        <v>16.000021400000001</v>
      </c>
    </row>
    <row r="215" spans="1:28" ht="49.5" customHeight="1">
      <c r="A215" s="22">
        <v>210</v>
      </c>
      <c r="B215" s="30" t="s">
        <v>860</v>
      </c>
      <c r="C215" s="30" t="s">
        <v>54</v>
      </c>
      <c r="D215" s="29" t="s">
        <v>906</v>
      </c>
      <c r="E215" s="29" t="s">
        <v>907</v>
      </c>
      <c r="F215" s="29" t="s">
        <v>908</v>
      </c>
      <c r="G215" s="29" t="s">
        <v>43</v>
      </c>
      <c r="H215" s="29" t="s">
        <v>50</v>
      </c>
      <c r="I215" s="25">
        <f t="shared" si="30"/>
        <v>3</v>
      </c>
      <c r="J215" s="29" t="s">
        <v>51</v>
      </c>
      <c r="K215" s="25">
        <f t="shared" si="31"/>
        <v>4</v>
      </c>
      <c r="L215" s="26">
        <f t="shared" si="32"/>
        <v>12</v>
      </c>
      <c r="M215" s="29"/>
      <c r="N215" s="29"/>
      <c r="O215" s="29"/>
      <c r="P215" s="29"/>
      <c r="Q215" s="29"/>
      <c r="R215" s="29"/>
      <c r="S215" s="29"/>
      <c r="T215" s="29"/>
      <c r="U215" s="26" t="str">
        <f t="shared" si="33"/>
        <v>High</v>
      </c>
      <c r="V215" s="26"/>
      <c r="W215" s="26">
        <f t="shared" si="34"/>
        <v>3</v>
      </c>
      <c r="X215" s="26">
        <f t="shared" si="35"/>
        <v>4</v>
      </c>
      <c r="Y215" s="26">
        <f t="shared" si="36"/>
        <v>12</v>
      </c>
      <c r="Z215" s="26" t="str">
        <f t="shared" si="37"/>
        <v>High</v>
      </c>
      <c r="AA215" s="26" t="str">
        <f t="shared" si="38"/>
        <v>No Change</v>
      </c>
      <c r="AB215" s="5">
        <f t="shared" si="39"/>
        <v>12.000021500000001</v>
      </c>
    </row>
    <row r="216" spans="1:28" ht="49.5" customHeight="1">
      <c r="A216" s="22">
        <v>211</v>
      </c>
      <c r="B216" s="30" t="s">
        <v>860</v>
      </c>
      <c r="C216" s="30" t="s">
        <v>73</v>
      </c>
      <c r="D216" s="29" t="s">
        <v>909</v>
      </c>
      <c r="E216" s="29" t="s">
        <v>910</v>
      </c>
      <c r="F216" s="29" t="s">
        <v>911</v>
      </c>
      <c r="G216" s="29" t="s">
        <v>58</v>
      </c>
      <c r="H216" s="29" t="s">
        <v>50</v>
      </c>
      <c r="I216" s="25">
        <f t="shared" si="30"/>
        <v>3</v>
      </c>
      <c r="J216" s="29" t="s">
        <v>51</v>
      </c>
      <c r="K216" s="25">
        <f t="shared" si="31"/>
        <v>4</v>
      </c>
      <c r="L216" s="26">
        <f t="shared" si="32"/>
        <v>12</v>
      </c>
      <c r="M216" s="29"/>
      <c r="N216" s="29"/>
      <c r="O216" s="29"/>
      <c r="P216" s="29"/>
      <c r="Q216" s="29"/>
      <c r="R216" s="29"/>
      <c r="S216" s="29"/>
      <c r="T216" s="29"/>
      <c r="U216" s="26" t="str">
        <f t="shared" si="33"/>
        <v>High</v>
      </c>
      <c r="V216" s="26"/>
      <c r="W216" s="26">
        <f t="shared" si="34"/>
        <v>3</v>
      </c>
      <c r="X216" s="26">
        <f t="shared" si="35"/>
        <v>4</v>
      </c>
      <c r="Y216" s="26">
        <f t="shared" si="36"/>
        <v>12</v>
      </c>
      <c r="Z216" s="26" t="str">
        <f t="shared" si="37"/>
        <v>High</v>
      </c>
      <c r="AA216" s="26" t="str">
        <f t="shared" si="38"/>
        <v>No Change</v>
      </c>
      <c r="AB216" s="5">
        <f t="shared" si="39"/>
        <v>12.0000216</v>
      </c>
    </row>
    <row r="217" spans="1:28" ht="49.5" customHeight="1">
      <c r="A217" s="22">
        <v>212</v>
      </c>
      <c r="B217" s="30" t="s">
        <v>860</v>
      </c>
      <c r="C217" s="30" t="s">
        <v>73</v>
      </c>
      <c r="D217" s="29" t="s">
        <v>912</v>
      </c>
      <c r="E217" s="29" t="s">
        <v>913</v>
      </c>
      <c r="F217" s="29" t="s">
        <v>914</v>
      </c>
      <c r="G217" s="29" t="s">
        <v>58</v>
      </c>
      <c r="H217" s="29" t="s">
        <v>50</v>
      </c>
      <c r="I217" s="25">
        <f t="shared" si="30"/>
        <v>3</v>
      </c>
      <c r="J217" s="29" t="s">
        <v>51</v>
      </c>
      <c r="K217" s="25">
        <f t="shared" si="31"/>
        <v>4</v>
      </c>
      <c r="L217" s="26">
        <f t="shared" si="32"/>
        <v>12</v>
      </c>
      <c r="M217" s="29"/>
      <c r="N217" s="29"/>
      <c r="O217" s="29"/>
      <c r="P217" s="29"/>
      <c r="Q217" s="29"/>
      <c r="R217" s="29"/>
      <c r="S217" s="29"/>
      <c r="T217" s="29"/>
      <c r="U217" s="26" t="str">
        <f t="shared" si="33"/>
        <v>High</v>
      </c>
      <c r="V217" s="26"/>
      <c r="W217" s="26">
        <f t="shared" si="34"/>
        <v>3</v>
      </c>
      <c r="X217" s="26">
        <f t="shared" si="35"/>
        <v>4</v>
      </c>
      <c r="Y217" s="26">
        <f t="shared" si="36"/>
        <v>12</v>
      </c>
      <c r="Z217" s="26" t="str">
        <f t="shared" si="37"/>
        <v>High</v>
      </c>
      <c r="AA217" s="26" t="str">
        <f t="shared" si="38"/>
        <v>No Change</v>
      </c>
      <c r="AB217" s="5">
        <f t="shared" si="39"/>
        <v>12.0000217</v>
      </c>
    </row>
    <row r="218" spans="1:28" ht="49.5" customHeight="1">
      <c r="A218" s="22">
        <v>213</v>
      </c>
      <c r="B218" s="30" t="s">
        <v>860</v>
      </c>
      <c r="C218" s="30" t="s">
        <v>73</v>
      </c>
      <c r="D218" s="29" t="s">
        <v>915</v>
      </c>
      <c r="E218" s="29" t="s">
        <v>916</v>
      </c>
      <c r="F218" s="29" t="s">
        <v>917</v>
      </c>
      <c r="G218" s="29" t="s">
        <v>58</v>
      </c>
      <c r="H218" s="29" t="s">
        <v>108</v>
      </c>
      <c r="I218" s="25">
        <f t="shared" si="30"/>
        <v>2</v>
      </c>
      <c r="J218" s="29" t="s">
        <v>51</v>
      </c>
      <c r="K218" s="25">
        <f t="shared" si="31"/>
        <v>4</v>
      </c>
      <c r="L218" s="26">
        <f t="shared" si="32"/>
        <v>8</v>
      </c>
      <c r="M218" s="29"/>
      <c r="N218" s="29"/>
      <c r="O218" s="29"/>
      <c r="P218" s="29"/>
      <c r="Q218" s="29"/>
      <c r="R218" s="29"/>
      <c r="S218" s="29"/>
      <c r="T218" s="29"/>
      <c r="U218" s="26" t="str">
        <f t="shared" si="33"/>
        <v>Medium</v>
      </c>
      <c r="V218" s="26"/>
      <c r="W218" s="26">
        <f t="shared" si="34"/>
        <v>2</v>
      </c>
      <c r="X218" s="26">
        <f t="shared" si="35"/>
        <v>4</v>
      </c>
      <c r="Y218" s="26">
        <f t="shared" si="36"/>
        <v>8</v>
      </c>
      <c r="Z218" s="26" t="str">
        <f t="shared" si="37"/>
        <v>Medium</v>
      </c>
      <c r="AA218" s="26" t="str">
        <f t="shared" si="38"/>
        <v>No Change</v>
      </c>
      <c r="AB218" s="5">
        <f t="shared" si="39"/>
        <v>8.0000218000000007</v>
      </c>
    </row>
    <row r="219" spans="1:28" ht="49.5" customHeight="1">
      <c r="A219" s="22">
        <v>214</v>
      </c>
      <c r="B219" s="30" t="s">
        <v>860</v>
      </c>
      <c r="C219" s="30" t="s">
        <v>171</v>
      </c>
      <c r="D219" s="29" t="s">
        <v>918</v>
      </c>
      <c r="E219" s="29" t="s">
        <v>919</v>
      </c>
      <c r="F219" s="29" t="s">
        <v>920</v>
      </c>
      <c r="G219" s="29" t="s">
        <v>33</v>
      </c>
      <c r="H219" s="29" t="s">
        <v>44</v>
      </c>
      <c r="I219" s="25">
        <f t="shared" si="30"/>
        <v>4</v>
      </c>
      <c r="J219" s="29" t="s">
        <v>51</v>
      </c>
      <c r="K219" s="25">
        <f t="shared" si="31"/>
        <v>4</v>
      </c>
      <c r="L219" s="26">
        <f t="shared" si="32"/>
        <v>16</v>
      </c>
      <c r="M219" s="29"/>
      <c r="N219" s="29"/>
      <c r="O219" s="29"/>
      <c r="P219" s="29"/>
      <c r="Q219" s="29"/>
      <c r="R219" s="29"/>
      <c r="S219" s="29"/>
      <c r="T219" s="29"/>
      <c r="U219" s="26" t="str">
        <f t="shared" si="33"/>
        <v>Critical</v>
      </c>
      <c r="V219" s="26"/>
      <c r="W219" s="26">
        <f t="shared" si="34"/>
        <v>4</v>
      </c>
      <c r="X219" s="26">
        <f t="shared" si="35"/>
        <v>4</v>
      </c>
      <c r="Y219" s="26">
        <f t="shared" si="36"/>
        <v>16</v>
      </c>
      <c r="Z219" s="26" t="str">
        <f t="shared" si="37"/>
        <v>Critical</v>
      </c>
      <c r="AA219" s="26" t="str">
        <f t="shared" si="38"/>
        <v>No Change</v>
      </c>
      <c r="AB219" s="5">
        <f t="shared" si="39"/>
        <v>16.0000219</v>
      </c>
    </row>
    <row r="220" spans="1:28" ht="49.5" customHeight="1">
      <c r="A220" s="22">
        <v>215</v>
      </c>
      <c r="B220" s="30" t="s">
        <v>860</v>
      </c>
      <c r="C220" s="30" t="s">
        <v>54</v>
      </c>
      <c r="D220" s="29" t="s">
        <v>921</v>
      </c>
      <c r="E220" s="29" t="s">
        <v>922</v>
      </c>
      <c r="F220" s="29" t="s">
        <v>923</v>
      </c>
      <c r="G220" s="29" t="s">
        <v>33</v>
      </c>
      <c r="H220" s="29" t="s">
        <v>50</v>
      </c>
      <c r="I220" s="25">
        <f t="shared" si="30"/>
        <v>3</v>
      </c>
      <c r="J220" s="29" t="s">
        <v>119</v>
      </c>
      <c r="K220" s="25">
        <f t="shared" si="31"/>
        <v>3</v>
      </c>
      <c r="L220" s="26">
        <f t="shared" si="32"/>
        <v>9</v>
      </c>
      <c r="M220" s="29"/>
      <c r="N220" s="29"/>
      <c r="O220" s="29"/>
      <c r="P220" s="29"/>
      <c r="Q220" s="29"/>
      <c r="R220" s="29"/>
      <c r="S220" s="29"/>
      <c r="T220" s="29"/>
      <c r="U220" s="26" t="str">
        <f t="shared" si="33"/>
        <v>Medium</v>
      </c>
      <c r="V220" s="26"/>
      <c r="W220" s="26">
        <f t="shared" si="34"/>
        <v>3</v>
      </c>
      <c r="X220" s="26">
        <f t="shared" si="35"/>
        <v>3</v>
      </c>
      <c r="Y220" s="26">
        <f t="shared" si="36"/>
        <v>9</v>
      </c>
      <c r="Z220" s="26" t="str">
        <f t="shared" si="37"/>
        <v>Medium</v>
      </c>
      <c r="AA220" s="26" t="str">
        <f t="shared" si="38"/>
        <v>No Change</v>
      </c>
      <c r="AB220" s="5">
        <f t="shared" si="39"/>
        <v>9.0000219999999995</v>
      </c>
    </row>
    <row r="221" spans="1:28" ht="49.5" customHeight="1">
      <c r="A221" s="22">
        <v>216</v>
      </c>
      <c r="B221" s="30" t="s">
        <v>860</v>
      </c>
      <c r="C221" s="30" t="s">
        <v>171</v>
      </c>
      <c r="D221" s="29" t="s">
        <v>924</v>
      </c>
      <c r="E221" s="29" t="s">
        <v>925</v>
      </c>
      <c r="F221" s="29" t="s">
        <v>926</v>
      </c>
      <c r="G221" s="29" t="s">
        <v>33</v>
      </c>
      <c r="H221" s="29" t="s">
        <v>50</v>
      </c>
      <c r="I221" s="25">
        <f t="shared" si="30"/>
        <v>3</v>
      </c>
      <c r="J221" s="29" t="s">
        <v>51</v>
      </c>
      <c r="K221" s="25">
        <f t="shared" si="31"/>
        <v>4</v>
      </c>
      <c r="L221" s="26">
        <f t="shared" si="32"/>
        <v>12</v>
      </c>
      <c r="M221" s="29"/>
      <c r="N221" s="29"/>
      <c r="O221" s="29"/>
      <c r="P221" s="29"/>
      <c r="Q221" s="29"/>
      <c r="R221" s="29"/>
      <c r="S221" s="29"/>
      <c r="T221" s="29"/>
      <c r="U221" s="26" t="str">
        <f t="shared" si="33"/>
        <v>High</v>
      </c>
      <c r="V221" s="26"/>
      <c r="W221" s="26">
        <f t="shared" si="34"/>
        <v>3</v>
      </c>
      <c r="X221" s="26">
        <f t="shared" si="35"/>
        <v>4</v>
      </c>
      <c r="Y221" s="26">
        <f t="shared" si="36"/>
        <v>12</v>
      </c>
      <c r="Z221" s="26" t="str">
        <f t="shared" si="37"/>
        <v>High</v>
      </c>
      <c r="AA221" s="26" t="str">
        <f t="shared" si="38"/>
        <v>No Change</v>
      </c>
      <c r="AB221" s="5">
        <f t="shared" si="39"/>
        <v>12.000022100000001</v>
      </c>
    </row>
    <row r="222" spans="1:28" ht="49.5" customHeight="1">
      <c r="A222" s="22">
        <v>217</v>
      </c>
      <c r="B222" s="30" t="s">
        <v>860</v>
      </c>
      <c r="C222" s="30" t="s">
        <v>89</v>
      </c>
      <c r="D222" s="29" t="s">
        <v>927</v>
      </c>
      <c r="E222" s="29" t="s">
        <v>928</v>
      </c>
      <c r="F222" s="29" t="s">
        <v>929</v>
      </c>
      <c r="G222" s="29" t="s">
        <v>99</v>
      </c>
      <c r="H222" s="29" t="s">
        <v>50</v>
      </c>
      <c r="I222" s="25">
        <f t="shared" si="30"/>
        <v>3</v>
      </c>
      <c r="J222" s="29" t="s">
        <v>51</v>
      </c>
      <c r="K222" s="25">
        <f t="shared" si="31"/>
        <v>4</v>
      </c>
      <c r="L222" s="26">
        <f t="shared" si="32"/>
        <v>12</v>
      </c>
      <c r="M222" s="29"/>
      <c r="N222" s="29"/>
      <c r="O222" s="29"/>
      <c r="P222" s="29"/>
      <c r="Q222" s="29"/>
      <c r="R222" s="29"/>
      <c r="S222" s="29"/>
      <c r="T222" s="29"/>
      <c r="U222" s="26" t="str">
        <f t="shared" si="33"/>
        <v>High</v>
      </c>
      <c r="V222" s="26"/>
      <c r="W222" s="26">
        <f t="shared" si="34"/>
        <v>3</v>
      </c>
      <c r="X222" s="26">
        <f t="shared" si="35"/>
        <v>4</v>
      </c>
      <c r="Y222" s="26">
        <f t="shared" si="36"/>
        <v>12</v>
      </c>
      <c r="Z222" s="26" t="str">
        <f t="shared" si="37"/>
        <v>High</v>
      </c>
      <c r="AA222" s="26" t="str">
        <f t="shared" si="38"/>
        <v>No Change</v>
      </c>
      <c r="AB222" s="5">
        <f t="shared" si="39"/>
        <v>12.0000222</v>
      </c>
    </row>
    <row r="223" spans="1:28" ht="49.5" customHeight="1">
      <c r="A223" s="22">
        <v>218</v>
      </c>
      <c r="B223" s="30" t="s">
        <v>860</v>
      </c>
      <c r="C223" s="30" t="s">
        <v>39</v>
      </c>
      <c r="D223" s="29" t="s">
        <v>930</v>
      </c>
      <c r="E223" s="29" t="s">
        <v>931</v>
      </c>
      <c r="F223" s="29" t="s">
        <v>932</v>
      </c>
      <c r="G223" s="29" t="s">
        <v>99</v>
      </c>
      <c r="H223" s="29" t="s">
        <v>50</v>
      </c>
      <c r="I223" s="25">
        <f t="shared" si="30"/>
        <v>3</v>
      </c>
      <c r="J223" s="29" t="s">
        <v>51</v>
      </c>
      <c r="K223" s="25">
        <f t="shared" si="31"/>
        <v>4</v>
      </c>
      <c r="L223" s="26">
        <f t="shared" si="32"/>
        <v>12</v>
      </c>
      <c r="M223" s="29"/>
      <c r="N223" s="29"/>
      <c r="O223" s="29"/>
      <c r="P223" s="29"/>
      <c r="Q223" s="29"/>
      <c r="R223" s="29"/>
      <c r="S223" s="29"/>
      <c r="T223" s="29"/>
      <c r="U223" s="26" t="str">
        <f t="shared" si="33"/>
        <v>High</v>
      </c>
      <c r="V223" s="26"/>
      <c r="W223" s="26">
        <f t="shared" si="34"/>
        <v>3</v>
      </c>
      <c r="X223" s="26">
        <f t="shared" si="35"/>
        <v>4</v>
      </c>
      <c r="Y223" s="26">
        <f t="shared" si="36"/>
        <v>12</v>
      </c>
      <c r="Z223" s="26" t="str">
        <f t="shared" si="37"/>
        <v>High</v>
      </c>
      <c r="AA223" s="26" t="str">
        <f t="shared" si="38"/>
        <v>No Change</v>
      </c>
      <c r="AB223" s="5">
        <f t="shared" si="39"/>
        <v>12.000022299999999</v>
      </c>
    </row>
    <row r="224" spans="1:28" ht="49.5" customHeight="1">
      <c r="A224" s="22">
        <v>219</v>
      </c>
      <c r="B224" s="30" t="s">
        <v>860</v>
      </c>
      <c r="C224" s="30" t="s">
        <v>73</v>
      </c>
      <c r="D224" s="29" t="s">
        <v>933</v>
      </c>
      <c r="E224" s="29" t="s">
        <v>934</v>
      </c>
      <c r="F224" s="29" t="s">
        <v>935</v>
      </c>
      <c r="G224" s="29" t="s">
        <v>99</v>
      </c>
      <c r="H224" s="29" t="s">
        <v>50</v>
      </c>
      <c r="I224" s="25">
        <f t="shared" si="30"/>
        <v>3</v>
      </c>
      <c r="J224" s="29" t="s">
        <v>119</v>
      </c>
      <c r="K224" s="25">
        <f t="shared" si="31"/>
        <v>3</v>
      </c>
      <c r="L224" s="26">
        <f t="shared" si="32"/>
        <v>9</v>
      </c>
      <c r="M224" s="29"/>
      <c r="N224" s="29"/>
      <c r="O224" s="29"/>
      <c r="P224" s="29"/>
      <c r="Q224" s="29"/>
      <c r="R224" s="29"/>
      <c r="S224" s="29"/>
      <c r="T224" s="29"/>
      <c r="U224" s="26" t="str">
        <f t="shared" si="33"/>
        <v>Medium</v>
      </c>
      <c r="V224" s="26"/>
      <c r="W224" s="26">
        <f t="shared" si="34"/>
        <v>3</v>
      </c>
      <c r="X224" s="26">
        <f t="shared" si="35"/>
        <v>3</v>
      </c>
      <c r="Y224" s="26">
        <f t="shared" si="36"/>
        <v>9</v>
      </c>
      <c r="Z224" s="26" t="str">
        <f t="shared" si="37"/>
        <v>Medium</v>
      </c>
      <c r="AA224" s="26" t="str">
        <f t="shared" si="38"/>
        <v>No Change</v>
      </c>
      <c r="AB224" s="5">
        <f t="shared" si="39"/>
        <v>9.0000224000000006</v>
      </c>
    </row>
    <row r="225" spans="1:28" ht="49.5" customHeight="1">
      <c r="A225" s="22">
        <v>220</v>
      </c>
      <c r="B225" s="30" t="s">
        <v>860</v>
      </c>
      <c r="C225" s="30" t="s">
        <v>54</v>
      </c>
      <c r="D225" s="29" t="s">
        <v>936</v>
      </c>
      <c r="E225" s="29" t="s">
        <v>937</v>
      </c>
      <c r="F225" s="29" t="s">
        <v>938</v>
      </c>
      <c r="G225" s="29" t="s">
        <v>58</v>
      </c>
      <c r="H225" s="29" t="s">
        <v>50</v>
      </c>
      <c r="I225" s="25">
        <f t="shared" si="30"/>
        <v>3</v>
      </c>
      <c r="J225" s="29" t="s">
        <v>119</v>
      </c>
      <c r="K225" s="25">
        <f t="shared" si="31"/>
        <v>3</v>
      </c>
      <c r="L225" s="26">
        <f t="shared" si="32"/>
        <v>9</v>
      </c>
      <c r="M225" s="29"/>
      <c r="N225" s="29"/>
      <c r="O225" s="29"/>
      <c r="P225" s="29"/>
      <c r="Q225" s="29"/>
      <c r="R225" s="29"/>
      <c r="S225" s="29"/>
      <c r="T225" s="29"/>
      <c r="U225" s="26" t="str">
        <f t="shared" si="33"/>
        <v>Medium</v>
      </c>
      <c r="V225" s="26"/>
      <c r="W225" s="26">
        <f t="shared" si="34"/>
        <v>3</v>
      </c>
      <c r="X225" s="26">
        <f t="shared" si="35"/>
        <v>3</v>
      </c>
      <c r="Y225" s="26">
        <f t="shared" si="36"/>
        <v>9</v>
      </c>
      <c r="Z225" s="26" t="str">
        <f t="shared" si="37"/>
        <v>Medium</v>
      </c>
      <c r="AA225" s="26" t="str">
        <f t="shared" si="38"/>
        <v>No Change</v>
      </c>
      <c r="AB225" s="5">
        <f t="shared" si="39"/>
        <v>9.0000225</v>
      </c>
    </row>
    <row r="226" spans="1:28" ht="49.5" customHeight="1">
      <c r="A226" s="22">
        <v>221</v>
      </c>
      <c r="B226" s="30" t="s">
        <v>860</v>
      </c>
      <c r="C226" s="30" t="s">
        <v>54</v>
      </c>
      <c r="D226" s="29" t="s">
        <v>939</v>
      </c>
      <c r="E226" s="29" t="s">
        <v>940</v>
      </c>
      <c r="F226" s="29" t="s">
        <v>941</v>
      </c>
      <c r="G226" s="29" t="s">
        <v>58</v>
      </c>
      <c r="H226" s="29" t="s">
        <v>34</v>
      </c>
      <c r="I226" s="25">
        <f t="shared" si="30"/>
        <v>5</v>
      </c>
      <c r="J226" s="29" t="s">
        <v>119</v>
      </c>
      <c r="K226" s="25">
        <f t="shared" si="31"/>
        <v>3</v>
      </c>
      <c r="L226" s="26">
        <f t="shared" si="32"/>
        <v>15</v>
      </c>
      <c r="M226" s="29"/>
      <c r="N226" s="29"/>
      <c r="O226" s="29"/>
      <c r="P226" s="29"/>
      <c r="Q226" s="29"/>
      <c r="R226" s="29"/>
      <c r="S226" s="29"/>
      <c r="T226" s="29"/>
      <c r="U226" s="26" t="str">
        <f t="shared" si="33"/>
        <v>High</v>
      </c>
      <c r="V226" s="26"/>
      <c r="W226" s="26">
        <f t="shared" si="34"/>
        <v>5</v>
      </c>
      <c r="X226" s="26">
        <f t="shared" si="35"/>
        <v>3</v>
      </c>
      <c r="Y226" s="26">
        <f t="shared" si="36"/>
        <v>15</v>
      </c>
      <c r="Z226" s="26" t="str">
        <f t="shared" si="37"/>
        <v>High</v>
      </c>
      <c r="AA226" s="26" t="str">
        <f t="shared" si="38"/>
        <v>No Change</v>
      </c>
      <c r="AB226" s="5">
        <f t="shared" si="39"/>
        <v>15.000022599999999</v>
      </c>
    </row>
    <row r="227" spans="1:28" ht="49.5" customHeight="1">
      <c r="A227" s="22">
        <v>222</v>
      </c>
      <c r="B227" s="30" t="s">
        <v>860</v>
      </c>
      <c r="C227" s="30" t="s">
        <v>73</v>
      </c>
      <c r="D227" s="29" t="s">
        <v>942</v>
      </c>
      <c r="E227" s="29" t="s">
        <v>943</v>
      </c>
      <c r="F227" s="29" t="s">
        <v>944</v>
      </c>
      <c r="G227" s="29" t="s">
        <v>58</v>
      </c>
      <c r="H227" s="29" t="s">
        <v>44</v>
      </c>
      <c r="I227" s="25">
        <f t="shared" si="30"/>
        <v>4</v>
      </c>
      <c r="J227" s="29" t="s">
        <v>51</v>
      </c>
      <c r="K227" s="25">
        <f t="shared" si="31"/>
        <v>4</v>
      </c>
      <c r="L227" s="26">
        <f t="shared" si="32"/>
        <v>16</v>
      </c>
      <c r="M227" s="29"/>
      <c r="N227" s="29"/>
      <c r="O227" s="29"/>
      <c r="P227" s="29"/>
      <c r="Q227" s="29"/>
      <c r="R227" s="29"/>
      <c r="S227" s="29"/>
      <c r="T227" s="29"/>
      <c r="U227" s="26" t="str">
        <f t="shared" si="33"/>
        <v>Critical</v>
      </c>
      <c r="V227" s="26"/>
      <c r="W227" s="26">
        <f t="shared" si="34"/>
        <v>4</v>
      </c>
      <c r="X227" s="26">
        <f t="shared" si="35"/>
        <v>4</v>
      </c>
      <c r="Y227" s="26">
        <f t="shared" si="36"/>
        <v>16</v>
      </c>
      <c r="Z227" s="26" t="str">
        <f t="shared" si="37"/>
        <v>Critical</v>
      </c>
      <c r="AA227" s="26" t="str">
        <f t="shared" si="38"/>
        <v>No Change</v>
      </c>
      <c r="AB227" s="5">
        <f t="shared" si="39"/>
        <v>16.000022699999999</v>
      </c>
    </row>
    <row r="228" spans="1:28" ht="49.5" customHeight="1">
      <c r="A228" s="22">
        <v>223</v>
      </c>
      <c r="B228" s="30" t="s">
        <v>860</v>
      </c>
      <c r="C228" s="30" t="s">
        <v>39</v>
      </c>
      <c r="D228" s="29" t="s">
        <v>945</v>
      </c>
      <c r="E228" s="29" t="s">
        <v>946</v>
      </c>
      <c r="F228" s="29" t="s">
        <v>947</v>
      </c>
      <c r="G228" s="29" t="s">
        <v>245</v>
      </c>
      <c r="H228" s="29" t="s">
        <v>34</v>
      </c>
      <c r="I228" s="25">
        <f t="shared" si="30"/>
        <v>5</v>
      </c>
      <c r="J228" s="29" t="s">
        <v>51</v>
      </c>
      <c r="K228" s="25">
        <f t="shared" si="31"/>
        <v>4</v>
      </c>
      <c r="L228" s="26">
        <f t="shared" si="32"/>
        <v>20</v>
      </c>
      <c r="M228" s="29"/>
      <c r="N228" s="29"/>
      <c r="O228" s="29"/>
      <c r="P228" s="29"/>
      <c r="Q228" s="29"/>
      <c r="R228" s="29"/>
      <c r="S228" s="29"/>
      <c r="T228" s="29"/>
      <c r="U228" s="26" t="str">
        <f t="shared" si="33"/>
        <v>Critical</v>
      </c>
      <c r="V228" s="26"/>
      <c r="W228" s="26">
        <f t="shared" si="34"/>
        <v>5</v>
      </c>
      <c r="X228" s="26">
        <f t="shared" si="35"/>
        <v>4</v>
      </c>
      <c r="Y228" s="26">
        <f t="shared" si="36"/>
        <v>20</v>
      </c>
      <c r="Z228" s="26" t="str">
        <f t="shared" si="37"/>
        <v>Critical</v>
      </c>
      <c r="AA228" s="26" t="str">
        <f t="shared" si="38"/>
        <v>No Change</v>
      </c>
      <c r="AB228" s="5">
        <f t="shared" si="39"/>
        <v>20.0000228</v>
      </c>
    </row>
    <row r="229" spans="1:28" ht="49.5" customHeight="1">
      <c r="A229" s="22">
        <v>224</v>
      </c>
      <c r="B229" s="30" t="s">
        <v>860</v>
      </c>
      <c r="C229" s="30" t="s">
        <v>54</v>
      </c>
      <c r="D229" s="29" t="s">
        <v>948</v>
      </c>
      <c r="E229" s="29" t="s">
        <v>949</v>
      </c>
      <c r="F229" s="29" t="s">
        <v>950</v>
      </c>
      <c r="G229" s="29" t="s">
        <v>43</v>
      </c>
      <c r="H229" s="29" t="s">
        <v>50</v>
      </c>
      <c r="I229" s="25">
        <f t="shared" si="30"/>
        <v>3</v>
      </c>
      <c r="J229" s="29" t="s">
        <v>119</v>
      </c>
      <c r="K229" s="25">
        <f t="shared" si="31"/>
        <v>3</v>
      </c>
      <c r="L229" s="26">
        <f t="shared" si="32"/>
        <v>9</v>
      </c>
      <c r="M229" s="29"/>
      <c r="N229" s="29"/>
      <c r="O229" s="29"/>
      <c r="P229" s="29"/>
      <c r="Q229" s="29"/>
      <c r="R229" s="29"/>
      <c r="S229" s="29"/>
      <c r="T229" s="29"/>
      <c r="U229" s="26" t="str">
        <f t="shared" si="33"/>
        <v>Medium</v>
      </c>
      <c r="V229" s="26"/>
      <c r="W229" s="26">
        <f t="shared" si="34"/>
        <v>3</v>
      </c>
      <c r="X229" s="26">
        <f t="shared" si="35"/>
        <v>3</v>
      </c>
      <c r="Y229" s="26">
        <f t="shared" si="36"/>
        <v>9</v>
      </c>
      <c r="Z229" s="26" t="str">
        <f t="shared" si="37"/>
        <v>Medium</v>
      </c>
      <c r="AA229" s="26" t="str">
        <f t="shared" si="38"/>
        <v>No Change</v>
      </c>
      <c r="AB229" s="5">
        <f t="shared" si="39"/>
        <v>9.0000228999999994</v>
      </c>
    </row>
    <row r="230" spans="1:28" ht="49.5" customHeight="1">
      <c r="A230" s="22">
        <v>225</v>
      </c>
      <c r="B230" s="30" t="s">
        <v>860</v>
      </c>
      <c r="C230" s="30" t="s">
        <v>29</v>
      </c>
      <c r="D230" s="29" t="s">
        <v>951</v>
      </c>
      <c r="E230" s="29" t="s">
        <v>952</v>
      </c>
      <c r="F230" s="29" t="s">
        <v>953</v>
      </c>
      <c r="G230" s="29" t="s">
        <v>33</v>
      </c>
      <c r="H230" s="29" t="s">
        <v>44</v>
      </c>
      <c r="I230" s="25">
        <f t="shared" si="30"/>
        <v>4</v>
      </c>
      <c r="J230" s="29" t="s">
        <v>51</v>
      </c>
      <c r="K230" s="25">
        <f t="shared" si="31"/>
        <v>4</v>
      </c>
      <c r="L230" s="26">
        <f t="shared" si="32"/>
        <v>16</v>
      </c>
      <c r="M230" s="29"/>
      <c r="N230" s="29"/>
      <c r="O230" s="29"/>
      <c r="P230" s="29"/>
      <c r="Q230" s="29"/>
      <c r="R230" s="29"/>
      <c r="S230" s="29"/>
      <c r="T230" s="29"/>
      <c r="U230" s="26" t="str">
        <f t="shared" si="33"/>
        <v>Critical</v>
      </c>
      <c r="V230" s="26"/>
      <c r="W230" s="26">
        <f t="shared" si="34"/>
        <v>4</v>
      </c>
      <c r="X230" s="26">
        <f t="shared" si="35"/>
        <v>4</v>
      </c>
      <c r="Y230" s="26">
        <f t="shared" si="36"/>
        <v>16</v>
      </c>
      <c r="Z230" s="26" t="str">
        <f t="shared" si="37"/>
        <v>Critical</v>
      </c>
      <c r="AA230" s="26" t="str">
        <f t="shared" si="38"/>
        <v>No Change</v>
      </c>
      <c r="AB230" s="5">
        <f t="shared" si="39"/>
        <v>16.000022999999999</v>
      </c>
    </row>
    <row r="231" spans="1:28" ht="49.5" customHeight="1">
      <c r="A231" s="22">
        <v>226</v>
      </c>
      <c r="B231" s="30" t="s">
        <v>860</v>
      </c>
      <c r="C231" s="30" t="s">
        <v>171</v>
      </c>
      <c r="D231" s="29" t="s">
        <v>954</v>
      </c>
      <c r="E231" s="29" t="s">
        <v>955</v>
      </c>
      <c r="F231" s="29" t="s">
        <v>956</v>
      </c>
      <c r="G231" s="29" t="s">
        <v>33</v>
      </c>
      <c r="H231" s="29" t="s">
        <v>44</v>
      </c>
      <c r="I231" s="25">
        <f t="shared" si="30"/>
        <v>4</v>
      </c>
      <c r="J231" s="29" t="s">
        <v>51</v>
      </c>
      <c r="K231" s="25">
        <f t="shared" si="31"/>
        <v>4</v>
      </c>
      <c r="L231" s="26">
        <f t="shared" si="32"/>
        <v>16</v>
      </c>
      <c r="M231" s="29"/>
      <c r="N231" s="29"/>
      <c r="O231" s="29"/>
      <c r="P231" s="29"/>
      <c r="Q231" s="29"/>
      <c r="R231" s="29"/>
      <c r="S231" s="29"/>
      <c r="T231" s="29"/>
      <c r="U231" s="26" t="str">
        <f t="shared" si="33"/>
        <v>Critical</v>
      </c>
      <c r="V231" s="26"/>
      <c r="W231" s="26">
        <f t="shared" si="34"/>
        <v>4</v>
      </c>
      <c r="X231" s="26">
        <f t="shared" si="35"/>
        <v>4</v>
      </c>
      <c r="Y231" s="26">
        <f t="shared" si="36"/>
        <v>16</v>
      </c>
      <c r="Z231" s="26" t="str">
        <f t="shared" si="37"/>
        <v>Critical</v>
      </c>
      <c r="AA231" s="26" t="str">
        <f t="shared" si="38"/>
        <v>No Change</v>
      </c>
      <c r="AB231" s="5">
        <f t="shared" si="39"/>
        <v>16.0000231</v>
      </c>
    </row>
    <row r="232" spans="1:28" ht="49.5" customHeight="1">
      <c r="A232" s="22">
        <v>227</v>
      </c>
      <c r="B232" s="30" t="s">
        <v>957</v>
      </c>
      <c r="C232" s="30" t="s">
        <v>39</v>
      </c>
      <c r="D232" s="29" t="s">
        <v>958</v>
      </c>
      <c r="E232" s="29" t="s">
        <v>959</v>
      </c>
      <c r="F232" s="29" t="s">
        <v>960</v>
      </c>
      <c r="G232" s="29" t="s">
        <v>245</v>
      </c>
      <c r="H232" s="29" t="s">
        <v>50</v>
      </c>
      <c r="I232" s="25">
        <f t="shared" si="30"/>
        <v>3</v>
      </c>
      <c r="J232" s="29" t="s">
        <v>35</v>
      </c>
      <c r="K232" s="25">
        <f t="shared" si="31"/>
        <v>5</v>
      </c>
      <c r="L232" s="26">
        <f t="shared" si="32"/>
        <v>15</v>
      </c>
      <c r="M232" s="29" t="s">
        <v>961</v>
      </c>
      <c r="N232" s="29"/>
      <c r="O232" s="29"/>
      <c r="P232" s="29" t="s">
        <v>501</v>
      </c>
      <c r="Q232" s="29" t="s">
        <v>962</v>
      </c>
      <c r="R232" s="29"/>
      <c r="S232" s="29"/>
      <c r="T232" s="29"/>
      <c r="U232" s="26" t="str">
        <f t="shared" si="33"/>
        <v>High</v>
      </c>
      <c r="V232" s="26"/>
      <c r="W232" s="26">
        <f t="shared" si="34"/>
        <v>3</v>
      </c>
      <c r="X232" s="26">
        <f t="shared" si="35"/>
        <v>5</v>
      </c>
      <c r="Y232" s="26">
        <f t="shared" si="36"/>
        <v>15</v>
      </c>
      <c r="Z232" s="26" t="str">
        <f t="shared" si="37"/>
        <v>High</v>
      </c>
      <c r="AA232" s="26" t="str">
        <f t="shared" si="38"/>
        <v>No Change</v>
      </c>
      <c r="AB232" s="5">
        <f t="shared" si="39"/>
        <v>15.000023199999999</v>
      </c>
    </row>
    <row r="233" spans="1:28" ht="49.5" customHeight="1">
      <c r="A233" s="22">
        <v>228</v>
      </c>
      <c r="B233" s="30" t="s">
        <v>957</v>
      </c>
      <c r="C233" s="30" t="s">
        <v>29</v>
      </c>
      <c r="D233" s="29" t="s">
        <v>963</v>
      </c>
      <c r="E233" s="29" t="s">
        <v>964</v>
      </c>
      <c r="F233" s="29" t="s">
        <v>965</v>
      </c>
      <c r="G233" s="29" t="s">
        <v>33</v>
      </c>
      <c r="H233" s="29" t="s">
        <v>34</v>
      </c>
      <c r="I233" s="25">
        <f t="shared" si="30"/>
        <v>5</v>
      </c>
      <c r="J233" s="29" t="s">
        <v>35</v>
      </c>
      <c r="K233" s="25">
        <f t="shared" si="31"/>
        <v>5</v>
      </c>
      <c r="L233" s="26">
        <f t="shared" si="32"/>
        <v>25</v>
      </c>
      <c r="M233" s="29"/>
      <c r="N233" s="29"/>
      <c r="O233" s="29"/>
      <c r="P233" s="29"/>
      <c r="Q233" s="29"/>
      <c r="R233" s="29"/>
      <c r="S233" s="29"/>
      <c r="T233" s="29"/>
      <c r="U233" s="26" t="str">
        <f t="shared" si="33"/>
        <v>Critical</v>
      </c>
      <c r="V233" s="26"/>
      <c r="W233" s="26">
        <f t="shared" si="34"/>
        <v>5</v>
      </c>
      <c r="X233" s="26">
        <f t="shared" si="35"/>
        <v>5</v>
      </c>
      <c r="Y233" s="26">
        <f t="shared" si="36"/>
        <v>25</v>
      </c>
      <c r="Z233" s="26" t="str">
        <f t="shared" si="37"/>
        <v>Critical</v>
      </c>
      <c r="AA233" s="26" t="str">
        <f t="shared" si="38"/>
        <v>No Change</v>
      </c>
      <c r="AB233" s="5">
        <f t="shared" si="39"/>
        <v>25.000023299999999</v>
      </c>
    </row>
    <row r="234" spans="1:28" ht="49.5" customHeight="1">
      <c r="A234" s="22">
        <v>229</v>
      </c>
      <c r="B234" s="30" t="s">
        <v>957</v>
      </c>
      <c r="C234" s="30" t="s">
        <v>54</v>
      </c>
      <c r="D234" s="29" t="s">
        <v>966</v>
      </c>
      <c r="E234" s="29" t="s">
        <v>967</v>
      </c>
      <c r="F234" s="29" t="s">
        <v>968</v>
      </c>
      <c r="G234" s="29" t="s">
        <v>99</v>
      </c>
      <c r="H234" s="29" t="s">
        <v>50</v>
      </c>
      <c r="I234" s="25">
        <f t="shared" si="30"/>
        <v>3</v>
      </c>
      <c r="J234" s="29" t="s">
        <v>51</v>
      </c>
      <c r="K234" s="25">
        <f t="shared" si="31"/>
        <v>4</v>
      </c>
      <c r="L234" s="26">
        <f t="shared" si="32"/>
        <v>12</v>
      </c>
      <c r="M234" s="29" t="s">
        <v>969</v>
      </c>
      <c r="N234" s="29"/>
      <c r="O234" s="29"/>
      <c r="P234" s="29" t="s">
        <v>501</v>
      </c>
      <c r="Q234" s="29" t="s">
        <v>970</v>
      </c>
      <c r="R234" s="29"/>
      <c r="S234" s="29"/>
      <c r="T234" s="29"/>
      <c r="U234" s="26" t="str">
        <f t="shared" si="33"/>
        <v>High</v>
      </c>
      <c r="V234" s="26"/>
      <c r="W234" s="26">
        <f t="shared" si="34"/>
        <v>3</v>
      </c>
      <c r="X234" s="26">
        <f t="shared" si="35"/>
        <v>4</v>
      </c>
      <c r="Y234" s="26">
        <f t="shared" si="36"/>
        <v>12</v>
      </c>
      <c r="Z234" s="26" t="str">
        <f t="shared" si="37"/>
        <v>High</v>
      </c>
      <c r="AA234" s="26" t="str">
        <f t="shared" si="38"/>
        <v>No Change</v>
      </c>
      <c r="AB234" s="5">
        <f t="shared" si="39"/>
        <v>12.0000234</v>
      </c>
    </row>
    <row r="235" spans="1:28" ht="49.5" customHeight="1">
      <c r="A235" s="22">
        <v>230</v>
      </c>
      <c r="B235" s="30" t="s">
        <v>957</v>
      </c>
      <c r="C235" s="30" t="s">
        <v>138</v>
      </c>
      <c r="D235" s="29" t="s">
        <v>971</v>
      </c>
      <c r="E235" s="29" t="s">
        <v>972</v>
      </c>
      <c r="F235" s="29" t="s">
        <v>973</v>
      </c>
      <c r="G235" s="29" t="s">
        <v>356</v>
      </c>
      <c r="H235" s="29" t="s">
        <v>108</v>
      </c>
      <c r="I235" s="25">
        <f t="shared" si="30"/>
        <v>2</v>
      </c>
      <c r="J235" s="29" t="s">
        <v>35</v>
      </c>
      <c r="K235" s="25">
        <f t="shared" si="31"/>
        <v>5</v>
      </c>
      <c r="L235" s="26">
        <f t="shared" si="32"/>
        <v>10</v>
      </c>
      <c r="M235" s="29" t="s">
        <v>974</v>
      </c>
      <c r="N235" s="29"/>
      <c r="O235" s="29"/>
      <c r="P235" s="29" t="s">
        <v>512</v>
      </c>
      <c r="Q235" s="29" t="s">
        <v>975</v>
      </c>
      <c r="R235" s="29"/>
      <c r="S235" s="29"/>
      <c r="T235" s="29"/>
      <c r="U235" s="26" t="str">
        <f t="shared" si="33"/>
        <v>High</v>
      </c>
      <c r="V235" s="26"/>
      <c r="W235" s="26">
        <f t="shared" si="34"/>
        <v>2</v>
      </c>
      <c r="X235" s="26">
        <f t="shared" si="35"/>
        <v>5</v>
      </c>
      <c r="Y235" s="26">
        <f t="shared" si="36"/>
        <v>10</v>
      </c>
      <c r="Z235" s="26" t="str">
        <f t="shared" si="37"/>
        <v>High</v>
      </c>
      <c r="AA235" s="26" t="str">
        <f t="shared" si="38"/>
        <v>No Change</v>
      </c>
      <c r="AB235" s="5">
        <f t="shared" si="39"/>
        <v>10.000023499999999</v>
      </c>
    </row>
    <row r="236" spans="1:28" ht="49.5" customHeight="1">
      <c r="A236" s="22">
        <v>231</v>
      </c>
      <c r="B236" s="30" t="s">
        <v>957</v>
      </c>
      <c r="C236" s="30" t="s">
        <v>54</v>
      </c>
      <c r="D236" s="29" t="s">
        <v>976</v>
      </c>
      <c r="E236" s="29" t="s">
        <v>977</v>
      </c>
      <c r="F236" s="29" t="s">
        <v>978</v>
      </c>
      <c r="G236" s="29" t="s">
        <v>43</v>
      </c>
      <c r="H236" s="29" t="s">
        <v>50</v>
      </c>
      <c r="I236" s="25">
        <f t="shared" si="30"/>
        <v>3</v>
      </c>
      <c r="J236" s="29" t="s">
        <v>119</v>
      </c>
      <c r="K236" s="25">
        <f t="shared" si="31"/>
        <v>3</v>
      </c>
      <c r="L236" s="26">
        <f t="shared" si="32"/>
        <v>9</v>
      </c>
      <c r="M236" s="29" t="s">
        <v>979</v>
      </c>
      <c r="N236" s="29"/>
      <c r="O236" s="29"/>
      <c r="P236" s="29" t="s">
        <v>501</v>
      </c>
      <c r="Q236" s="29" t="s">
        <v>980</v>
      </c>
      <c r="R236" s="29"/>
      <c r="S236" s="29"/>
      <c r="T236" s="29"/>
      <c r="U236" s="26" t="str">
        <f t="shared" si="33"/>
        <v>Medium</v>
      </c>
      <c r="V236" s="26"/>
      <c r="W236" s="26">
        <f t="shared" si="34"/>
        <v>3</v>
      </c>
      <c r="X236" s="26">
        <f t="shared" si="35"/>
        <v>3</v>
      </c>
      <c r="Y236" s="26">
        <f t="shared" si="36"/>
        <v>9</v>
      </c>
      <c r="Z236" s="26" t="str">
        <f t="shared" si="37"/>
        <v>Medium</v>
      </c>
      <c r="AA236" s="26" t="str">
        <f t="shared" si="38"/>
        <v>No Change</v>
      </c>
      <c r="AB236" s="5">
        <f t="shared" si="39"/>
        <v>9.0000236000000005</v>
      </c>
    </row>
    <row r="237" spans="1:28" ht="65.25" customHeight="1">
      <c r="A237" s="22">
        <v>232</v>
      </c>
      <c r="B237" s="30" t="s">
        <v>957</v>
      </c>
      <c r="C237" s="30" t="s">
        <v>39</v>
      </c>
      <c r="D237" s="29" t="s">
        <v>981</v>
      </c>
      <c r="E237" s="29" t="s">
        <v>982</v>
      </c>
      <c r="F237" s="29" t="s">
        <v>983</v>
      </c>
      <c r="G237" s="29" t="s">
        <v>58</v>
      </c>
      <c r="H237" s="29" t="s">
        <v>50</v>
      </c>
      <c r="I237" s="25">
        <f t="shared" si="30"/>
        <v>3</v>
      </c>
      <c r="J237" s="29" t="s">
        <v>35</v>
      </c>
      <c r="K237" s="25">
        <f t="shared" si="31"/>
        <v>5</v>
      </c>
      <c r="L237" s="26">
        <f t="shared" si="32"/>
        <v>15</v>
      </c>
      <c r="M237" s="29" t="s">
        <v>984</v>
      </c>
      <c r="N237" s="29"/>
      <c r="O237" s="29"/>
      <c r="P237" s="29" t="s">
        <v>501</v>
      </c>
      <c r="Q237" s="29" t="s">
        <v>980</v>
      </c>
      <c r="R237" s="29"/>
      <c r="S237" s="29"/>
      <c r="T237" s="29"/>
      <c r="U237" s="26" t="str">
        <f t="shared" si="33"/>
        <v>High</v>
      </c>
      <c r="V237" s="26"/>
      <c r="W237" s="26">
        <f t="shared" si="34"/>
        <v>3</v>
      </c>
      <c r="X237" s="26">
        <f t="shared" si="35"/>
        <v>5</v>
      </c>
      <c r="Y237" s="26">
        <f t="shared" si="36"/>
        <v>15</v>
      </c>
      <c r="Z237" s="26" t="str">
        <f t="shared" si="37"/>
        <v>High</v>
      </c>
      <c r="AA237" s="26" t="str">
        <f t="shared" si="38"/>
        <v>No Change</v>
      </c>
      <c r="AB237" s="5">
        <f t="shared" si="39"/>
        <v>15.0000237</v>
      </c>
    </row>
    <row r="238" spans="1:28" ht="49.5" customHeight="1">
      <c r="A238" s="22">
        <v>233</v>
      </c>
      <c r="B238" s="30" t="s">
        <v>957</v>
      </c>
      <c r="C238" s="30" t="s">
        <v>73</v>
      </c>
      <c r="D238" s="29" t="s">
        <v>985</v>
      </c>
      <c r="E238" s="29" t="s">
        <v>986</v>
      </c>
      <c r="F238" s="29" t="s">
        <v>987</v>
      </c>
      <c r="G238" s="29" t="s">
        <v>70</v>
      </c>
      <c r="H238" s="29" t="s">
        <v>50</v>
      </c>
      <c r="I238" s="25">
        <f t="shared" si="30"/>
        <v>3</v>
      </c>
      <c r="J238" s="29" t="s">
        <v>51</v>
      </c>
      <c r="K238" s="25">
        <f t="shared" si="31"/>
        <v>4</v>
      </c>
      <c r="L238" s="26">
        <f t="shared" si="32"/>
        <v>12</v>
      </c>
      <c r="M238" s="29"/>
      <c r="N238" s="29"/>
      <c r="O238" s="29"/>
      <c r="P238" s="29"/>
      <c r="Q238" s="29"/>
      <c r="R238" s="29"/>
      <c r="S238" s="29"/>
      <c r="T238" s="29"/>
      <c r="U238" s="26" t="str">
        <f t="shared" si="33"/>
        <v>High</v>
      </c>
      <c r="V238" s="26"/>
      <c r="W238" s="26">
        <f t="shared" si="34"/>
        <v>3</v>
      </c>
      <c r="X238" s="26">
        <f t="shared" si="35"/>
        <v>4</v>
      </c>
      <c r="Y238" s="26">
        <f t="shared" si="36"/>
        <v>12</v>
      </c>
      <c r="Z238" s="26" t="str">
        <f t="shared" si="37"/>
        <v>High</v>
      </c>
      <c r="AA238" s="26" t="str">
        <f t="shared" si="38"/>
        <v>No Change</v>
      </c>
      <c r="AB238" s="5">
        <f t="shared" si="39"/>
        <v>12.000023799999999</v>
      </c>
    </row>
    <row r="239" spans="1:28" ht="49.5" customHeight="1">
      <c r="A239" s="22">
        <v>234</v>
      </c>
      <c r="B239" s="30" t="s">
        <v>957</v>
      </c>
      <c r="C239" s="30" t="s">
        <v>171</v>
      </c>
      <c r="D239" s="29" t="s">
        <v>988</v>
      </c>
      <c r="E239" s="29" t="s">
        <v>989</v>
      </c>
      <c r="F239" s="29" t="s">
        <v>990</v>
      </c>
      <c r="G239" s="29" t="s">
        <v>99</v>
      </c>
      <c r="H239" s="29" t="s">
        <v>50</v>
      </c>
      <c r="I239" s="25">
        <f t="shared" si="30"/>
        <v>3</v>
      </c>
      <c r="J239" s="29" t="s">
        <v>51</v>
      </c>
      <c r="K239" s="25">
        <f t="shared" si="31"/>
        <v>4</v>
      </c>
      <c r="L239" s="26">
        <f t="shared" si="32"/>
        <v>12</v>
      </c>
      <c r="M239" s="29" t="s">
        <v>991</v>
      </c>
      <c r="N239" s="29"/>
      <c r="O239" s="29"/>
      <c r="P239" s="29" t="s">
        <v>501</v>
      </c>
      <c r="Q239" s="29"/>
      <c r="R239" s="29"/>
      <c r="S239" s="29"/>
      <c r="T239" s="29"/>
      <c r="U239" s="26" t="str">
        <f t="shared" si="33"/>
        <v>High</v>
      </c>
      <c r="V239" s="26"/>
      <c r="W239" s="26">
        <f t="shared" si="34"/>
        <v>3</v>
      </c>
      <c r="X239" s="26">
        <f t="shared" si="35"/>
        <v>4</v>
      </c>
      <c r="Y239" s="26">
        <f t="shared" si="36"/>
        <v>12</v>
      </c>
      <c r="Z239" s="26" t="str">
        <f t="shared" si="37"/>
        <v>High</v>
      </c>
      <c r="AA239" s="26" t="str">
        <f t="shared" si="38"/>
        <v>No Change</v>
      </c>
      <c r="AB239" s="5">
        <f t="shared" si="39"/>
        <v>12.0000239</v>
      </c>
    </row>
    <row r="240" spans="1:28" ht="49.5" customHeight="1">
      <c r="A240" s="22">
        <v>235</v>
      </c>
      <c r="B240" s="30" t="s">
        <v>957</v>
      </c>
      <c r="C240" s="30" t="s">
        <v>184</v>
      </c>
      <c r="D240" s="29" t="s">
        <v>992</v>
      </c>
      <c r="E240" s="29" t="s">
        <v>993</v>
      </c>
      <c r="F240" s="29"/>
      <c r="G240" s="29" t="s">
        <v>33</v>
      </c>
      <c r="H240" s="29" t="s">
        <v>34</v>
      </c>
      <c r="I240" s="25">
        <f t="shared" si="30"/>
        <v>5</v>
      </c>
      <c r="J240" s="29" t="s">
        <v>51</v>
      </c>
      <c r="K240" s="25">
        <f t="shared" si="31"/>
        <v>4</v>
      </c>
      <c r="L240" s="26">
        <f t="shared" si="32"/>
        <v>20</v>
      </c>
      <c r="M240" s="29"/>
      <c r="N240" s="29"/>
      <c r="O240" s="29"/>
      <c r="P240" s="29"/>
      <c r="Q240" s="29"/>
      <c r="R240" s="29"/>
      <c r="S240" s="29"/>
      <c r="T240" s="29"/>
      <c r="U240" s="26" t="str">
        <f t="shared" si="33"/>
        <v>Critical</v>
      </c>
      <c r="V240" s="26"/>
      <c r="W240" s="26">
        <f t="shared" si="34"/>
        <v>5</v>
      </c>
      <c r="X240" s="26">
        <f t="shared" si="35"/>
        <v>4</v>
      </c>
      <c r="Y240" s="26">
        <f t="shared" si="36"/>
        <v>20</v>
      </c>
      <c r="Z240" s="26" t="str">
        <f t="shared" si="37"/>
        <v>Critical</v>
      </c>
      <c r="AA240" s="26" t="str">
        <f t="shared" si="38"/>
        <v>No Change</v>
      </c>
      <c r="AB240" s="5">
        <f t="shared" si="39"/>
        <v>20.000024</v>
      </c>
    </row>
    <row r="241" spans="1:28" ht="67.5" customHeight="1">
      <c r="A241" s="22">
        <v>236</v>
      </c>
      <c r="B241" s="30" t="s">
        <v>957</v>
      </c>
      <c r="C241" s="30" t="s">
        <v>61</v>
      </c>
      <c r="D241" s="29" t="s">
        <v>994</v>
      </c>
      <c r="E241" s="29" t="s">
        <v>995</v>
      </c>
      <c r="F241" s="29" t="s">
        <v>996</v>
      </c>
      <c r="G241" s="29" t="s">
        <v>245</v>
      </c>
      <c r="H241" s="29" t="s">
        <v>108</v>
      </c>
      <c r="I241" s="25">
        <f t="shared" si="30"/>
        <v>2</v>
      </c>
      <c r="J241" s="29" t="s">
        <v>109</v>
      </c>
      <c r="K241" s="25">
        <f t="shared" si="31"/>
        <v>2</v>
      </c>
      <c r="L241" s="26">
        <f t="shared" si="32"/>
        <v>4</v>
      </c>
      <c r="M241" s="29"/>
      <c r="N241" s="29"/>
      <c r="O241" s="29"/>
      <c r="P241" s="29"/>
      <c r="Q241" s="29"/>
      <c r="R241" s="29"/>
      <c r="S241" s="29"/>
      <c r="T241" s="29"/>
      <c r="U241" s="26" t="str">
        <f t="shared" si="33"/>
        <v>Low</v>
      </c>
      <c r="V241" s="26"/>
      <c r="W241" s="26">
        <f t="shared" si="34"/>
        <v>2</v>
      </c>
      <c r="X241" s="26">
        <f t="shared" si="35"/>
        <v>2</v>
      </c>
      <c r="Y241" s="26">
        <f t="shared" si="36"/>
        <v>4</v>
      </c>
      <c r="Z241" s="26" t="str">
        <f t="shared" si="37"/>
        <v>Low</v>
      </c>
      <c r="AA241" s="26" t="str">
        <f t="shared" si="38"/>
        <v>No Change</v>
      </c>
      <c r="AB241" s="5">
        <f t="shared" si="39"/>
        <v>4.0000241000000001</v>
      </c>
    </row>
    <row r="242" spans="1:28" ht="78" customHeight="1">
      <c r="A242" s="22">
        <v>237</v>
      </c>
      <c r="B242" s="30" t="s">
        <v>957</v>
      </c>
      <c r="C242" s="30" t="s">
        <v>61</v>
      </c>
      <c r="D242" s="29" t="s">
        <v>997</v>
      </c>
      <c r="E242" s="29" t="s">
        <v>998</v>
      </c>
      <c r="F242" s="29" t="s">
        <v>999</v>
      </c>
      <c r="G242" s="29" t="s">
        <v>356</v>
      </c>
      <c r="H242" s="29" t="s">
        <v>108</v>
      </c>
      <c r="I242" s="25">
        <f t="shared" si="30"/>
        <v>2</v>
      </c>
      <c r="J242" s="29" t="s">
        <v>35</v>
      </c>
      <c r="K242" s="25">
        <f t="shared" si="31"/>
        <v>5</v>
      </c>
      <c r="L242" s="26">
        <f t="shared" si="32"/>
        <v>10</v>
      </c>
      <c r="M242" s="29" t="s">
        <v>1000</v>
      </c>
      <c r="N242" s="29"/>
      <c r="O242" s="29"/>
      <c r="P242" s="29" t="s">
        <v>512</v>
      </c>
      <c r="Q242" s="29" t="s">
        <v>1001</v>
      </c>
      <c r="R242" s="29"/>
      <c r="S242" s="29"/>
      <c r="T242" s="29"/>
      <c r="U242" s="26" t="str">
        <f t="shared" si="33"/>
        <v>High</v>
      </c>
      <c r="V242" s="26"/>
      <c r="W242" s="26">
        <f t="shared" si="34"/>
        <v>2</v>
      </c>
      <c r="X242" s="26">
        <f t="shared" si="35"/>
        <v>5</v>
      </c>
      <c r="Y242" s="26">
        <f t="shared" si="36"/>
        <v>10</v>
      </c>
      <c r="Z242" s="26" t="str">
        <f t="shared" si="37"/>
        <v>High</v>
      </c>
      <c r="AA242" s="26" t="str">
        <f t="shared" si="38"/>
        <v>No Change</v>
      </c>
      <c r="AB242" s="5">
        <f t="shared" si="39"/>
        <v>10.0000242</v>
      </c>
    </row>
    <row r="243" spans="1:28" ht="49.5" customHeight="1">
      <c r="A243" s="22">
        <v>238</v>
      </c>
      <c r="B243" s="30" t="s">
        <v>957</v>
      </c>
      <c r="C243" s="30" t="s">
        <v>73</v>
      </c>
      <c r="D243" s="29" t="s">
        <v>1002</v>
      </c>
      <c r="E243" s="29" t="s">
        <v>1003</v>
      </c>
      <c r="F243" s="29" t="s">
        <v>1004</v>
      </c>
      <c r="G243" s="29" t="s">
        <v>43</v>
      </c>
      <c r="H243" s="29" t="s">
        <v>50</v>
      </c>
      <c r="I243" s="25">
        <f t="shared" si="30"/>
        <v>3</v>
      </c>
      <c r="J243" s="29" t="s">
        <v>51</v>
      </c>
      <c r="K243" s="25">
        <f t="shared" si="31"/>
        <v>4</v>
      </c>
      <c r="L243" s="26">
        <f t="shared" si="32"/>
        <v>12</v>
      </c>
      <c r="M243" s="29" t="s">
        <v>1005</v>
      </c>
      <c r="N243" s="29"/>
      <c r="O243" s="29"/>
      <c r="P243" s="29" t="s">
        <v>501</v>
      </c>
      <c r="Q243" s="29" t="s">
        <v>1006</v>
      </c>
      <c r="R243" s="29"/>
      <c r="S243" s="29"/>
      <c r="T243" s="29"/>
      <c r="U243" s="26" t="str">
        <f t="shared" si="33"/>
        <v>High</v>
      </c>
      <c r="V243" s="26"/>
      <c r="W243" s="26">
        <f t="shared" si="34"/>
        <v>3</v>
      </c>
      <c r="X243" s="26">
        <f t="shared" si="35"/>
        <v>4</v>
      </c>
      <c r="Y243" s="26">
        <f t="shared" si="36"/>
        <v>12</v>
      </c>
      <c r="Z243" s="26" t="str">
        <f t="shared" si="37"/>
        <v>High</v>
      </c>
      <c r="AA243" s="26" t="str">
        <f t="shared" si="38"/>
        <v>No Change</v>
      </c>
      <c r="AB243" s="5">
        <f t="shared" si="39"/>
        <v>12.0000243</v>
      </c>
    </row>
    <row r="244" spans="1:28" ht="49.5" customHeight="1">
      <c r="A244" s="22">
        <v>239</v>
      </c>
      <c r="B244" s="30" t="s">
        <v>957</v>
      </c>
      <c r="C244" s="30" t="s">
        <v>54</v>
      </c>
      <c r="D244" s="29" t="s">
        <v>1007</v>
      </c>
      <c r="E244" s="29" t="s">
        <v>1008</v>
      </c>
      <c r="F244" s="29" t="s">
        <v>1009</v>
      </c>
      <c r="G244" s="29" t="s">
        <v>99</v>
      </c>
      <c r="H244" s="29" t="s">
        <v>50</v>
      </c>
      <c r="I244" s="25">
        <f t="shared" si="30"/>
        <v>3</v>
      </c>
      <c r="J244" s="29" t="s">
        <v>51</v>
      </c>
      <c r="K244" s="25">
        <f t="shared" si="31"/>
        <v>4</v>
      </c>
      <c r="L244" s="26">
        <f t="shared" si="32"/>
        <v>12</v>
      </c>
      <c r="M244" s="29" t="s">
        <v>1010</v>
      </c>
      <c r="N244" s="29"/>
      <c r="O244" s="29"/>
      <c r="P244" s="29" t="s">
        <v>512</v>
      </c>
      <c r="Q244" s="29"/>
      <c r="R244" s="29"/>
      <c r="S244" s="29"/>
      <c r="T244" s="29"/>
      <c r="U244" s="26" t="str">
        <f t="shared" si="33"/>
        <v>High</v>
      </c>
      <c r="V244" s="26"/>
      <c r="W244" s="26">
        <f t="shared" si="34"/>
        <v>3</v>
      </c>
      <c r="X244" s="26">
        <f t="shared" si="35"/>
        <v>4</v>
      </c>
      <c r="Y244" s="26">
        <f t="shared" si="36"/>
        <v>12</v>
      </c>
      <c r="Z244" s="26" t="str">
        <f t="shared" si="37"/>
        <v>High</v>
      </c>
      <c r="AA244" s="26" t="str">
        <f t="shared" si="38"/>
        <v>No Change</v>
      </c>
      <c r="AB244" s="5">
        <f t="shared" si="39"/>
        <v>12.000024399999999</v>
      </c>
    </row>
    <row r="245" spans="1:28" ht="49.5" customHeight="1">
      <c r="A245" s="22">
        <v>240</v>
      </c>
      <c r="B245" s="30" t="s">
        <v>957</v>
      </c>
      <c r="C245" s="30" t="s">
        <v>29</v>
      </c>
      <c r="D245" s="29" t="s">
        <v>1011</v>
      </c>
      <c r="E245" s="29" t="s">
        <v>1012</v>
      </c>
      <c r="F245" s="29" t="s">
        <v>1013</v>
      </c>
      <c r="G245" s="29" t="s">
        <v>33</v>
      </c>
      <c r="H245" s="29" t="s">
        <v>34</v>
      </c>
      <c r="I245" s="25">
        <f t="shared" si="30"/>
        <v>5</v>
      </c>
      <c r="J245" s="29" t="s">
        <v>51</v>
      </c>
      <c r="K245" s="25">
        <f t="shared" si="31"/>
        <v>4</v>
      </c>
      <c r="L245" s="26">
        <f t="shared" si="32"/>
        <v>20</v>
      </c>
      <c r="M245" s="29" t="s">
        <v>1014</v>
      </c>
      <c r="N245" s="29"/>
      <c r="O245" s="29"/>
      <c r="P245" s="29"/>
      <c r="Q245" s="29"/>
      <c r="R245" s="29"/>
      <c r="S245" s="29"/>
      <c r="T245" s="29"/>
      <c r="U245" s="26" t="str">
        <f t="shared" si="33"/>
        <v>Critical</v>
      </c>
      <c r="V245" s="26"/>
      <c r="W245" s="26">
        <f t="shared" si="34"/>
        <v>5</v>
      </c>
      <c r="X245" s="26">
        <f t="shared" si="35"/>
        <v>4</v>
      </c>
      <c r="Y245" s="26">
        <f t="shared" si="36"/>
        <v>20</v>
      </c>
      <c r="Z245" s="26" t="str">
        <f t="shared" si="37"/>
        <v>Critical</v>
      </c>
      <c r="AA245" s="26" t="str">
        <f t="shared" si="38"/>
        <v>No Change</v>
      </c>
      <c r="AB245" s="5">
        <f t="shared" si="39"/>
        <v>20.000024499999999</v>
      </c>
    </row>
    <row r="246" spans="1:28" ht="49.5" customHeight="1">
      <c r="A246" s="22">
        <v>241</v>
      </c>
      <c r="B246" s="30" t="s">
        <v>957</v>
      </c>
      <c r="C246" s="30" t="s">
        <v>89</v>
      </c>
      <c r="D246" s="29" t="s">
        <v>1015</v>
      </c>
      <c r="E246" s="29" t="s">
        <v>1016</v>
      </c>
      <c r="F246" s="29" t="s">
        <v>1017</v>
      </c>
      <c r="G246" s="29" t="s">
        <v>693</v>
      </c>
      <c r="H246" s="29" t="s">
        <v>34</v>
      </c>
      <c r="I246" s="25">
        <f t="shared" si="30"/>
        <v>5</v>
      </c>
      <c r="J246" s="29" t="s">
        <v>51</v>
      </c>
      <c r="K246" s="25">
        <f t="shared" si="31"/>
        <v>4</v>
      </c>
      <c r="L246" s="26">
        <f t="shared" si="32"/>
        <v>20</v>
      </c>
      <c r="M246" s="29"/>
      <c r="N246" s="29"/>
      <c r="O246" s="29"/>
      <c r="P246" s="29"/>
      <c r="Q246" s="29"/>
      <c r="R246" s="29"/>
      <c r="S246" s="29"/>
      <c r="T246" s="29"/>
      <c r="U246" s="26" t="str">
        <f t="shared" si="33"/>
        <v>Critical</v>
      </c>
      <c r="V246" s="26"/>
      <c r="W246" s="26">
        <f t="shared" si="34"/>
        <v>5</v>
      </c>
      <c r="X246" s="26">
        <f t="shared" si="35"/>
        <v>4</v>
      </c>
      <c r="Y246" s="26">
        <f t="shared" si="36"/>
        <v>20</v>
      </c>
      <c r="Z246" s="26" t="str">
        <f t="shared" si="37"/>
        <v>Critical</v>
      </c>
      <c r="AA246" s="26" t="str">
        <f t="shared" si="38"/>
        <v>No Change</v>
      </c>
      <c r="AB246" s="5">
        <f t="shared" si="39"/>
        <v>20.0000246</v>
      </c>
    </row>
    <row r="247" spans="1:28" ht="49.5" customHeight="1">
      <c r="A247" s="22">
        <v>242</v>
      </c>
      <c r="B247" s="30" t="s">
        <v>1018</v>
      </c>
      <c r="C247" s="30" t="s">
        <v>61</v>
      </c>
      <c r="D247" s="29" t="s">
        <v>1019</v>
      </c>
      <c r="E247" s="29" t="s">
        <v>1020</v>
      </c>
      <c r="F247" s="29" t="s">
        <v>1021</v>
      </c>
      <c r="G247" s="29" t="s">
        <v>245</v>
      </c>
      <c r="H247" s="29" t="s">
        <v>44</v>
      </c>
      <c r="I247" s="25">
        <f t="shared" si="30"/>
        <v>4</v>
      </c>
      <c r="J247" s="29" t="s">
        <v>51</v>
      </c>
      <c r="K247" s="25">
        <f t="shared" si="31"/>
        <v>4</v>
      </c>
      <c r="L247" s="26">
        <f t="shared" si="32"/>
        <v>16</v>
      </c>
      <c r="M247" s="29" t="s">
        <v>1022</v>
      </c>
      <c r="N247" s="29"/>
      <c r="O247" s="29"/>
      <c r="P247" s="29"/>
      <c r="Q247" s="29"/>
      <c r="R247" s="29"/>
      <c r="S247" s="29"/>
      <c r="T247" s="29"/>
      <c r="U247" s="26" t="str">
        <f t="shared" si="33"/>
        <v>Critical</v>
      </c>
      <c r="V247" s="26"/>
      <c r="W247" s="26">
        <f t="shared" si="34"/>
        <v>4</v>
      </c>
      <c r="X247" s="26">
        <f t="shared" si="35"/>
        <v>4</v>
      </c>
      <c r="Y247" s="26">
        <f t="shared" si="36"/>
        <v>16</v>
      </c>
      <c r="Z247" s="26" t="str">
        <f t="shared" si="37"/>
        <v>Critical</v>
      </c>
      <c r="AA247" s="26" t="str">
        <f t="shared" si="38"/>
        <v>No Change</v>
      </c>
      <c r="AB247" s="5">
        <f t="shared" si="39"/>
        <v>16.000024700000001</v>
      </c>
    </row>
    <row r="248" spans="1:28" ht="49.5" customHeight="1">
      <c r="A248" s="22">
        <v>243</v>
      </c>
      <c r="B248" s="30" t="s">
        <v>1018</v>
      </c>
      <c r="C248" s="30" t="s">
        <v>61</v>
      </c>
      <c r="D248" s="29" t="s">
        <v>788</v>
      </c>
      <c r="E248" s="29" t="s">
        <v>1023</v>
      </c>
      <c r="F248" s="29" t="s">
        <v>1024</v>
      </c>
      <c r="G248" s="29" t="s">
        <v>245</v>
      </c>
      <c r="H248" s="29" t="s">
        <v>44</v>
      </c>
      <c r="I248" s="25">
        <f t="shared" si="30"/>
        <v>4</v>
      </c>
      <c r="J248" s="29" t="s">
        <v>51</v>
      </c>
      <c r="K248" s="25">
        <f t="shared" si="31"/>
        <v>4</v>
      </c>
      <c r="L248" s="26">
        <f t="shared" si="32"/>
        <v>16</v>
      </c>
      <c r="M248" s="29" t="s">
        <v>1025</v>
      </c>
      <c r="N248" s="29"/>
      <c r="O248" s="29"/>
      <c r="P248" s="29"/>
      <c r="Q248" s="29"/>
      <c r="R248" s="29"/>
      <c r="S248" s="29"/>
      <c r="T248" s="29"/>
      <c r="U248" s="26" t="str">
        <f t="shared" si="33"/>
        <v>Critical</v>
      </c>
      <c r="V248" s="26"/>
      <c r="W248" s="26">
        <f t="shared" si="34"/>
        <v>4</v>
      </c>
      <c r="X248" s="26">
        <f t="shared" si="35"/>
        <v>4</v>
      </c>
      <c r="Y248" s="26">
        <f t="shared" si="36"/>
        <v>16</v>
      </c>
      <c r="Z248" s="26" t="str">
        <f t="shared" si="37"/>
        <v>Critical</v>
      </c>
      <c r="AA248" s="26" t="str">
        <f t="shared" si="38"/>
        <v>No Change</v>
      </c>
      <c r="AB248" s="5">
        <f t="shared" si="39"/>
        <v>16.000024799999998</v>
      </c>
    </row>
    <row r="249" spans="1:28" ht="49.5" customHeight="1">
      <c r="A249" s="22">
        <v>244</v>
      </c>
      <c r="B249" s="30" t="s">
        <v>1018</v>
      </c>
      <c r="C249" s="30" t="s">
        <v>73</v>
      </c>
      <c r="D249" s="29" t="s">
        <v>1026</v>
      </c>
      <c r="E249" s="29" t="s">
        <v>1027</v>
      </c>
      <c r="F249" s="29" t="s">
        <v>1028</v>
      </c>
      <c r="G249" s="29" t="s">
        <v>58</v>
      </c>
      <c r="H249" s="29" t="s">
        <v>50</v>
      </c>
      <c r="I249" s="25">
        <f t="shared" si="30"/>
        <v>3</v>
      </c>
      <c r="J249" s="29" t="s">
        <v>51</v>
      </c>
      <c r="K249" s="25">
        <f t="shared" si="31"/>
        <v>4</v>
      </c>
      <c r="L249" s="26">
        <f t="shared" si="32"/>
        <v>12</v>
      </c>
      <c r="M249" s="29" t="s">
        <v>1029</v>
      </c>
      <c r="N249" s="29"/>
      <c r="O249" s="29"/>
      <c r="P249" s="29"/>
      <c r="Q249" s="29"/>
      <c r="R249" s="29"/>
      <c r="S249" s="29"/>
      <c r="T249" s="29"/>
      <c r="U249" s="26" t="str">
        <f t="shared" si="33"/>
        <v>High</v>
      </c>
      <c r="V249" s="26"/>
      <c r="W249" s="26">
        <f t="shared" si="34"/>
        <v>3</v>
      </c>
      <c r="X249" s="26">
        <f t="shared" si="35"/>
        <v>4</v>
      </c>
      <c r="Y249" s="26">
        <f t="shared" si="36"/>
        <v>12</v>
      </c>
      <c r="Z249" s="26" t="str">
        <f t="shared" si="37"/>
        <v>High</v>
      </c>
      <c r="AA249" s="26" t="str">
        <f t="shared" si="38"/>
        <v>No Change</v>
      </c>
      <c r="AB249" s="5">
        <f t="shared" si="39"/>
        <v>12.0000249</v>
      </c>
    </row>
    <row r="250" spans="1:28" ht="49.5" customHeight="1">
      <c r="A250" s="22">
        <v>245</v>
      </c>
      <c r="B250" s="30" t="s">
        <v>1018</v>
      </c>
      <c r="C250" s="30" t="s">
        <v>184</v>
      </c>
      <c r="D250" s="29" t="s">
        <v>1030</v>
      </c>
      <c r="E250" s="29" t="s">
        <v>1031</v>
      </c>
      <c r="F250" s="29" t="s">
        <v>1032</v>
      </c>
      <c r="G250" s="29" t="s">
        <v>33</v>
      </c>
      <c r="H250" s="29" t="s">
        <v>44</v>
      </c>
      <c r="I250" s="25">
        <f t="shared" si="30"/>
        <v>4</v>
      </c>
      <c r="J250" s="29" t="s">
        <v>51</v>
      </c>
      <c r="K250" s="25">
        <f t="shared" si="31"/>
        <v>4</v>
      </c>
      <c r="L250" s="26">
        <f t="shared" si="32"/>
        <v>16</v>
      </c>
      <c r="M250" s="29" t="s">
        <v>1033</v>
      </c>
      <c r="N250" s="29"/>
      <c r="O250" s="29"/>
      <c r="P250" s="29"/>
      <c r="Q250" s="29"/>
      <c r="R250" s="29"/>
      <c r="S250" s="29"/>
      <c r="T250" s="29"/>
      <c r="U250" s="26" t="str">
        <f t="shared" si="33"/>
        <v>Critical</v>
      </c>
      <c r="V250" s="26"/>
      <c r="W250" s="26">
        <f t="shared" si="34"/>
        <v>4</v>
      </c>
      <c r="X250" s="26">
        <f t="shared" si="35"/>
        <v>4</v>
      </c>
      <c r="Y250" s="26">
        <f t="shared" si="36"/>
        <v>16</v>
      </c>
      <c r="Z250" s="26" t="str">
        <f t="shared" si="37"/>
        <v>Critical</v>
      </c>
      <c r="AA250" s="26" t="str">
        <f t="shared" si="38"/>
        <v>No Change</v>
      </c>
      <c r="AB250" s="5">
        <f t="shared" si="39"/>
        <v>16.000025000000001</v>
      </c>
    </row>
    <row r="251" spans="1:28" ht="49.5" customHeight="1">
      <c r="A251" s="22">
        <v>246</v>
      </c>
      <c r="B251" s="30" t="s">
        <v>1018</v>
      </c>
      <c r="C251" s="30" t="s">
        <v>89</v>
      </c>
      <c r="D251" s="29" t="s">
        <v>1034</v>
      </c>
      <c r="E251" s="29" t="s">
        <v>1035</v>
      </c>
      <c r="F251" s="29" t="s">
        <v>1036</v>
      </c>
      <c r="G251" s="29" t="s">
        <v>33</v>
      </c>
      <c r="H251" s="29" t="s">
        <v>44</v>
      </c>
      <c r="I251" s="25">
        <f t="shared" si="30"/>
        <v>4</v>
      </c>
      <c r="J251" s="29" t="s">
        <v>35</v>
      </c>
      <c r="K251" s="25">
        <f t="shared" si="31"/>
        <v>5</v>
      </c>
      <c r="L251" s="26">
        <f t="shared" si="32"/>
        <v>20</v>
      </c>
      <c r="M251" s="29" t="s">
        <v>1037</v>
      </c>
      <c r="N251" s="29"/>
      <c r="O251" s="29"/>
      <c r="P251" s="29"/>
      <c r="Q251" s="29"/>
      <c r="R251" s="29"/>
      <c r="S251" s="29"/>
      <c r="T251" s="29"/>
      <c r="U251" s="26" t="str">
        <f t="shared" si="33"/>
        <v>Critical</v>
      </c>
      <c r="V251" s="26"/>
      <c r="W251" s="26">
        <f t="shared" si="34"/>
        <v>4</v>
      </c>
      <c r="X251" s="26">
        <f t="shared" si="35"/>
        <v>5</v>
      </c>
      <c r="Y251" s="26">
        <f t="shared" si="36"/>
        <v>20</v>
      </c>
      <c r="Z251" s="26" t="str">
        <f t="shared" si="37"/>
        <v>Critical</v>
      </c>
      <c r="AA251" s="26" t="str">
        <f t="shared" si="38"/>
        <v>No Change</v>
      </c>
      <c r="AB251" s="5">
        <f t="shared" si="39"/>
        <v>20.000025099999998</v>
      </c>
    </row>
    <row r="252" spans="1:28" ht="104.25" customHeight="1">
      <c r="A252" s="22">
        <v>247</v>
      </c>
      <c r="B252" s="30" t="s">
        <v>1038</v>
      </c>
      <c r="C252" s="30" t="s">
        <v>73</v>
      </c>
      <c r="D252" s="29" t="s">
        <v>1039</v>
      </c>
      <c r="E252" s="29" t="s">
        <v>1040</v>
      </c>
      <c r="F252" s="29" t="s">
        <v>1041</v>
      </c>
      <c r="G252" s="29" t="s">
        <v>58</v>
      </c>
      <c r="H252" s="29" t="s">
        <v>44</v>
      </c>
      <c r="I252" s="25">
        <f t="shared" si="30"/>
        <v>4</v>
      </c>
      <c r="J252" s="29" t="s">
        <v>51</v>
      </c>
      <c r="K252" s="25">
        <f t="shared" si="31"/>
        <v>4</v>
      </c>
      <c r="L252" s="26">
        <f t="shared" si="32"/>
        <v>16</v>
      </c>
      <c r="M252" s="29" t="s">
        <v>1042</v>
      </c>
      <c r="N252" s="29"/>
      <c r="O252" s="29"/>
      <c r="P252" s="29"/>
      <c r="Q252" s="29" t="s">
        <v>1043</v>
      </c>
      <c r="R252" s="29"/>
      <c r="S252" s="29"/>
      <c r="T252" s="29"/>
      <c r="U252" s="26" t="str">
        <f t="shared" si="33"/>
        <v>Critical</v>
      </c>
      <c r="V252" s="26"/>
      <c r="W252" s="26">
        <f t="shared" si="34"/>
        <v>4</v>
      </c>
      <c r="X252" s="26">
        <f t="shared" si="35"/>
        <v>4</v>
      </c>
      <c r="Y252" s="26">
        <f t="shared" si="36"/>
        <v>16</v>
      </c>
      <c r="Z252" s="26" t="str">
        <f t="shared" si="37"/>
        <v>Critical</v>
      </c>
      <c r="AA252" s="26" t="str">
        <f t="shared" si="38"/>
        <v>No Change</v>
      </c>
      <c r="AB252" s="5">
        <f t="shared" si="39"/>
        <v>16.0000252</v>
      </c>
    </row>
    <row r="253" spans="1:28" ht="117.75" customHeight="1">
      <c r="A253" s="22">
        <v>248</v>
      </c>
      <c r="B253" s="30" t="s">
        <v>1038</v>
      </c>
      <c r="C253" s="30" t="s">
        <v>39</v>
      </c>
      <c r="D253" s="29" t="s">
        <v>1044</v>
      </c>
      <c r="E253" s="29" t="s">
        <v>1045</v>
      </c>
      <c r="F253" s="29" t="s">
        <v>1046</v>
      </c>
      <c r="G253" s="29" t="s">
        <v>58</v>
      </c>
      <c r="H253" s="29" t="s">
        <v>44</v>
      </c>
      <c r="I253" s="25">
        <f t="shared" si="30"/>
        <v>4</v>
      </c>
      <c r="J253" s="29" t="s">
        <v>35</v>
      </c>
      <c r="K253" s="25">
        <f t="shared" si="31"/>
        <v>5</v>
      </c>
      <c r="L253" s="26">
        <f t="shared" si="32"/>
        <v>20</v>
      </c>
      <c r="M253" s="29" t="s">
        <v>1047</v>
      </c>
      <c r="N253" s="29"/>
      <c r="O253" s="29"/>
      <c r="P253" s="29"/>
      <c r="Q253" s="29" t="s">
        <v>1048</v>
      </c>
      <c r="R253" s="29"/>
      <c r="S253" s="29"/>
      <c r="T253" s="29"/>
      <c r="U253" s="26" t="str">
        <f t="shared" si="33"/>
        <v>Critical</v>
      </c>
      <c r="V253" s="26"/>
      <c r="W253" s="26">
        <f t="shared" si="34"/>
        <v>4</v>
      </c>
      <c r="X253" s="26">
        <f t="shared" si="35"/>
        <v>5</v>
      </c>
      <c r="Y253" s="26">
        <f t="shared" si="36"/>
        <v>20</v>
      </c>
      <c r="Z253" s="26" t="str">
        <f t="shared" si="37"/>
        <v>Critical</v>
      </c>
      <c r="AA253" s="26" t="str">
        <f t="shared" si="38"/>
        <v>No Change</v>
      </c>
      <c r="AB253" s="5">
        <f t="shared" si="39"/>
        <v>20.000025300000001</v>
      </c>
    </row>
    <row r="254" spans="1:28" ht="88.5" customHeight="1">
      <c r="A254" s="22">
        <v>249</v>
      </c>
      <c r="B254" s="30" t="s">
        <v>1038</v>
      </c>
      <c r="C254" s="30" t="s">
        <v>171</v>
      </c>
      <c r="D254" s="29" t="s">
        <v>1049</v>
      </c>
      <c r="E254" s="29" t="s">
        <v>1050</v>
      </c>
      <c r="F254" s="29" t="s">
        <v>1051</v>
      </c>
      <c r="G254" s="29" t="s">
        <v>58</v>
      </c>
      <c r="H254" s="29" t="s">
        <v>50</v>
      </c>
      <c r="I254" s="25">
        <f t="shared" si="30"/>
        <v>3</v>
      </c>
      <c r="J254" s="29" t="s">
        <v>51</v>
      </c>
      <c r="K254" s="25">
        <f t="shared" si="31"/>
        <v>4</v>
      </c>
      <c r="L254" s="26">
        <f t="shared" si="32"/>
        <v>12</v>
      </c>
      <c r="M254" s="29" t="s">
        <v>1052</v>
      </c>
      <c r="N254" s="29"/>
      <c r="O254" s="29"/>
      <c r="P254" s="29"/>
      <c r="Q254" s="29" t="s">
        <v>1053</v>
      </c>
      <c r="R254" s="29"/>
      <c r="S254" s="29"/>
      <c r="T254" s="29"/>
      <c r="U254" s="26" t="str">
        <f t="shared" si="33"/>
        <v>High</v>
      </c>
      <c r="V254" s="26"/>
      <c r="W254" s="26">
        <f t="shared" si="34"/>
        <v>3</v>
      </c>
      <c r="X254" s="26">
        <f t="shared" si="35"/>
        <v>4</v>
      </c>
      <c r="Y254" s="26">
        <f t="shared" si="36"/>
        <v>12</v>
      </c>
      <c r="Z254" s="26" t="str">
        <f t="shared" si="37"/>
        <v>High</v>
      </c>
      <c r="AA254" s="26" t="str">
        <f t="shared" si="38"/>
        <v>No Change</v>
      </c>
      <c r="AB254" s="5">
        <f t="shared" si="39"/>
        <v>12.0000254</v>
      </c>
    </row>
    <row r="255" spans="1:28" ht="49.5" customHeight="1">
      <c r="A255" s="22">
        <v>250</v>
      </c>
      <c r="B255" s="30" t="s">
        <v>1038</v>
      </c>
      <c r="C255" s="30" t="s">
        <v>39</v>
      </c>
      <c r="D255" s="29" t="s">
        <v>1054</v>
      </c>
      <c r="E255" s="29" t="s">
        <v>1055</v>
      </c>
      <c r="F255" s="29" t="s">
        <v>1056</v>
      </c>
      <c r="G255" s="29" t="s">
        <v>245</v>
      </c>
      <c r="H255" s="29" t="s">
        <v>34</v>
      </c>
      <c r="I255" s="25">
        <f t="shared" si="30"/>
        <v>5</v>
      </c>
      <c r="J255" s="29" t="s">
        <v>51</v>
      </c>
      <c r="K255" s="25">
        <f t="shared" si="31"/>
        <v>4</v>
      </c>
      <c r="L255" s="26">
        <f t="shared" si="32"/>
        <v>20</v>
      </c>
      <c r="M255" s="29" t="s">
        <v>1057</v>
      </c>
      <c r="N255" s="29"/>
      <c r="O255" s="29"/>
      <c r="P255" s="29"/>
      <c r="Q255" s="29" t="s">
        <v>1058</v>
      </c>
      <c r="R255" s="29"/>
      <c r="S255" s="29"/>
      <c r="T255" s="29"/>
      <c r="U255" s="26" t="str">
        <f t="shared" si="33"/>
        <v>Critical</v>
      </c>
      <c r="V255" s="26"/>
      <c r="W255" s="26">
        <f t="shared" si="34"/>
        <v>5</v>
      </c>
      <c r="X255" s="26">
        <f t="shared" si="35"/>
        <v>4</v>
      </c>
      <c r="Y255" s="26">
        <f t="shared" si="36"/>
        <v>20</v>
      </c>
      <c r="Z255" s="26" t="str">
        <f t="shared" si="37"/>
        <v>Critical</v>
      </c>
      <c r="AA255" s="26" t="str">
        <f t="shared" si="38"/>
        <v>No Change</v>
      </c>
      <c r="AB255" s="5">
        <f t="shared" si="39"/>
        <v>20.0000255</v>
      </c>
    </row>
    <row r="256" spans="1:28" ht="49.5" customHeight="1">
      <c r="A256" s="22">
        <v>251</v>
      </c>
      <c r="B256" s="30" t="s">
        <v>1038</v>
      </c>
      <c r="C256" s="30" t="s">
        <v>184</v>
      </c>
      <c r="D256" s="29" t="s">
        <v>1059</v>
      </c>
      <c r="E256" s="29" t="s">
        <v>1060</v>
      </c>
      <c r="F256" s="29" t="s">
        <v>1061</v>
      </c>
      <c r="G256" s="29" t="s">
        <v>33</v>
      </c>
      <c r="H256" s="29" t="s">
        <v>44</v>
      </c>
      <c r="I256" s="25">
        <f t="shared" si="30"/>
        <v>4</v>
      </c>
      <c r="J256" s="29" t="s">
        <v>51</v>
      </c>
      <c r="K256" s="25">
        <f t="shared" si="31"/>
        <v>4</v>
      </c>
      <c r="L256" s="26">
        <f t="shared" si="32"/>
        <v>16</v>
      </c>
      <c r="M256" s="29" t="s">
        <v>1062</v>
      </c>
      <c r="N256" s="29"/>
      <c r="O256" s="29"/>
      <c r="P256" s="29"/>
      <c r="Q256" s="29" t="s">
        <v>1063</v>
      </c>
      <c r="R256" s="29"/>
      <c r="S256" s="29"/>
      <c r="T256" s="29"/>
      <c r="U256" s="26" t="str">
        <f t="shared" si="33"/>
        <v>Critical</v>
      </c>
      <c r="V256" s="26"/>
      <c r="W256" s="26">
        <f t="shared" si="34"/>
        <v>4</v>
      </c>
      <c r="X256" s="26">
        <f t="shared" si="35"/>
        <v>4</v>
      </c>
      <c r="Y256" s="26">
        <f t="shared" si="36"/>
        <v>16</v>
      </c>
      <c r="Z256" s="26" t="str">
        <f t="shared" si="37"/>
        <v>Critical</v>
      </c>
      <c r="AA256" s="26" t="str">
        <f t="shared" si="38"/>
        <v>No Change</v>
      </c>
      <c r="AB256" s="5">
        <f t="shared" si="39"/>
        <v>16.000025600000001</v>
      </c>
    </row>
    <row r="257" spans="1:28" ht="49.5" customHeight="1">
      <c r="A257" s="22">
        <v>252</v>
      </c>
      <c r="B257" s="30" t="s">
        <v>1038</v>
      </c>
      <c r="C257" s="30" t="s">
        <v>89</v>
      </c>
      <c r="D257" s="29" t="s">
        <v>1064</v>
      </c>
      <c r="E257" s="29" t="s">
        <v>1065</v>
      </c>
      <c r="F257" s="29" t="s">
        <v>1066</v>
      </c>
      <c r="G257" s="29" t="s">
        <v>33</v>
      </c>
      <c r="H257" s="29" t="s">
        <v>50</v>
      </c>
      <c r="I257" s="25">
        <f t="shared" si="30"/>
        <v>3</v>
      </c>
      <c r="J257" s="29" t="s">
        <v>119</v>
      </c>
      <c r="K257" s="25">
        <f t="shared" si="31"/>
        <v>3</v>
      </c>
      <c r="L257" s="26">
        <f t="shared" si="32"/>
        <v>9</v>
      </c>
      <c r="M257" s="29" t="s">
        <v>1067</v>
      </c>
      <c r="N257" s="29"/>
      <c r="O257" s="29"/>
      <c r="P257" s="29"/>
      <c r="Q257" s="29" t="s">
        <v>1068</v>
      </c>
      <c r="R257" s="29"/>
      <c r="S257" s="29"/>
      <c r="T257" s="29"/>
      <c r="U257" s="26" t="str">
        <f t="shared" si="33"/>
        <v>Medium</v>
      </c>
      <c r="V257" s="26"/>
      <c r="W257" s="26">
        <f t="shared" si="34"/>
        <v>3</v>
      </c>
      <c r="X257" s="26">
        <f t="shared" si="35"/>
        <v>3</v>
      </c>
      <c r="Y257" s="26">
        <f t="shared" si="36"/>
        <v>9</v>
      </c>
      <c r="Z257" s="26" t="str">
        <f t="shared" si="37"/>
        <v>Medium</v>
      </c>
      <c r="AA257" s="26" t="str">
        <f t="shared" si="38"/>
        <v>No Change</v>
      </c>
      <c r="AB257" s="5">
        <f t="shared" si="39"/>
        <v>9.0000257000000001</v>
      </c>
    </row>
    <row r="258" spans="1:28" ht="49.5" customHeight="1">
      <c r="A258" s="22">
        <v>253</v>
      </c>
      <c r="B258" s="30" t="s">
        <v>1038</v>
      </c>
      <c r="C258" s="30" t="s">
        <v>73</v>
      </c>
      <c r="D258" s="29" t="s">
        <v>1069</v>
      </c>
      <c r="E258" s="29" t="s">
        <v>1070</v>
      </c>
      <c r="F258" s="29" t="s">
        <v>1071</v>
      </c>
      <c r="G258" s="29" t="s">
        <v>58</v>
      </c>
      <c r="H258" s="29" t="s">
        <v>108</v>
      </c>
      <c r="I258" s="25">
        <f t="shared" si="30"/>
        <v>2</v>
      </c>
      <c r="J258" s="29" t="s">
        <v>119</v>
      </c>
      <c r="K258" s="25">
        <f t="shared" si="31"/>
        <v>3</v>
      </c>
      <c r="L258" s="26">
        <f t="shared" si="32"/>
        <v>6</v>
      </c>
      <c r="M258" s="29" t="s">
        <v>1072</v>
      </c>
      <c r="N258" s="29"/>
      <c r="O258" s="29"/>
      <c r="P258" s="29"/>
      <c r="Q258" s="29" t="s">
        <v>1073</v>
      </c>
      <c r="R258" s="29"/>
      <c r="S258" s="29"/>
      <c r="T258" s="29"/>
      <c r="U258" s="26" t="str">
        <f t="shared" si="33"/>
        <v>Medium</v>
      </c>
      <c r="V258" s="26"/>
      <c r="W258" s="26">
        <f t="shared" si="34"/>
        <v>2</v>
      </c>
      <c r="X258" s="26">
        <f t="shared" si="35"/>
        <v>3</v>
      </c>
      <c r="Y258" s="26">
        <f t="shared" si="36"/>
        <v>6</v>
      </c>
      <c r="Z258" s="26" t="str">
        <f t="shared" si="37"/>
        <v>Medium</v>
      </c>
      <c r="AA258" s="26" t="str">
        <f t="shared" si="38"/>
        <v>No Change</v>
      </c>
      <c r="AB258" s="5">
        <f t="shared" si="39"/>
        <v>6.0000258000000004</v>
      </c>
    </row>
    <row r="259" spans="1:28" ht="49.5" customHeight="1">
      <c r="A259" s="22">
        <v>254</v>
      </c>
      <c r="B259" s="30" t="s">
        <v>1038</v>
      </c>
      <c r="C259" s="30" t="s">
        <v>89</v>
      </c>
      <c r="D259" s="29" t="s">
        <v>1074</v>
      </c>
      <c r="E259" s="29" t="s">
        <v>1075</v>
      </c>
      <c r="F259" s="29" t="s">
        <v>1076</v>
      </c>
      <c r="G259" s="29" t="s">
        <v>33</v>
      </c>
      <c r="H259" s="29" t="s">
        <v>44</v>
      </c>
      <c r="I259" s="25">
        <f t="shared" si="30"/>
        <v>4</v>
      </c>
      <c r="J259" s="29" t="s">
        <v>51</v>
      </c>
      <c r="K259" s="25">
        <f t="shared" si="31"/>
        <v>4</v>
      </c>
      <c r="L259" s="26">
        <f t="shared" si="32"/>
        <v>16</v>
      </c>
      <c r="M259" s="29" t="s">
        <v>1077</v>
      </c>
      <c r="N259" s="29"/>
      <c r="O259" s="29"/>
      <c r="P259" s="29"/>
      <c r="Q259" s="29" t="s">
        <v>1073</v>
      </c>
      <c r="R259" s="29"/>
      <c r="S259" s="29"/>
      <c r="T259" s="29"/>
      <c r="U259" s="26" t="str">
        <f t="shared" si="33"/>
        <v>Critical</v>
      </c>
      <c r="V259" s="26"/>
      <c r="W259" s="26">
        <f t="shared" si="34"/>
        <v>4</v>
      </c>
      <c r="X259" s="26">
        <f t="shared" si="35"/>
        <v>4</v>
      </c>
      <c r="Y259" s="26">
        <f t="shared" si="36"/>
        <v>16</v>
      </c>
      <c r="Z259" s="26" t="str">
        <f t="shared" si="37"/>
        <v>Critical</v>
      </c>
      <c r="AA259" s="26" t="str">
        <f t="shared" si="38"/>
        <v>No Change</v>
      </c>
      <c r="AB259" s="5">
        <f t="shared" si="39"/>
        <v>16.000025900000001</v>
      </c>
    </row>
    <row r="260" spans="1:28" ht="49.5" customHeight="1">
      <c r="A260" s="22">
        <v>255</v>
      </c>
      <c r="B260" s="30" t="s">
        <v>1038</v>
      </c>
      <c r="C260" s="30" t="s">
        <v>54</v>
      </c>
      <c r="D260" s="29" t="s">
        <v>1078</v>
      </c>
      <c r="E260" s="29" t="s">
        <v>1079</v>
      </c>
      <c r="F260" s="29" t="s">
        <v>1080</v>
      </c>
      <c r="G260" s="29" t="s">
        <v>33</v>
      </c>
      <c r="H260" s="29" t="s">
        <v>34</v>
      </c>
      <c r="I260" s="25">
        <f t="shared" si="30"/>
        <v>5</v>
      </c>
      <c r="J260" s="29" t="s">
        <v>35</v>
      </c>
      <c r="K260" s="25">
        <f t="shared" si="31"/>
        <v>5</v>
      </c>
      <c r="L260" s="26">
        <f t="shared" si="32"/>
        <v>25</v>
      </c>
      <c r="M260" s="29" t="s">
        <v>1081</v>
      </c>
      <c r="N260" s="29"/>
      <c r="O260" s="29"/>
      <c r="P260" s="29"/>
      <c r="Q260" s="29" t="s">
        <v>1082</v>
      </c>
      <c r="R260" s="29"/>
      <c r="S260" s="29"/>
      <c r="T260" s="29"/>
      <c r="U260" s="26" t="str">
        <f t="shared" si="33"/>
        <v>Critical</v>
      </c>
      <c r="V260" s="26"/>
      <c r="W260" s="26">
        <f t="shared" si="34"/>
        <v>5</v>
      </c>
      <c r="X260" s="26">
        <f t="shared" si="35"/>
        <v>5</v>
      </c>
      <c r="Y260" s="26">
        <f t="shared" si="36"/>
        <v>25</v>
      </c>
      <c r="Z260" s="26" t="str">
        <f t="shared" si="37"/>
        <v>Critical</v>
      </c>
      <c r="AA260" s="26" t="str">
        <f t="shared" si="38"/>
        <v>No Change</v>
      </c>
      <c r="AB260" s="5">
        <f t="shared" si="39"/>
        <v>25.000025999999998</v>
      </c>
    </row>
    <row r="261" spans="1:28" ht="49.5" customHeight="1">
      <c r="A261" s="22">
        <v>256</v>
      </c>
      <c r="B261" s="30" t="s">
        <v>1038</v>
      </c>
      <c r="C261" s="30" t="s">
        <v>29</v>
      </c>
      <c r="D261" s="29" t="s">
        <v>1083</v>
      </c>
      <c r="E261" s="29" t="s">
        <v>1084</v>
      </c>
      <c r="F261" s="29" t="s">
        <v>1085</v>
      </c>
      <c r="G261" s="29" t="s">
        <v>33</v>
      </c>
      <c r="H261" s="29" t="s">
        <v>34</v>
      </c>
      <c r="I261" s="25">
        <f t="shared" si="30"/>
        <v>5</v>
      </c>
      <c r="J261" s="29" t="s">
        <v>35</v>
      </c>
      <c r="K261" s="25">
        <f t="shared" si="31"/>
        <v>5</v>
      </c>
      <c r="L261" s="26">
        <f t="shared" si="32"/>
        <v>25</v>
      </c>
      <c r="M261" s="29" t="s">
        <v>1086</v>
      </c>
      <c r="N261" s="29"/>
      <c r="O261" s="29"/>
      <c r="P261" s="29"/>
      <c r="Q261" s="29" t="s">
        <v>1082</v>
      </c>
      <c r="R261" s="29"/>
      <c r="S261" s="29"/>
      <c r="T261" s="29"/>
      <c r="U261" s="26" t="str">
        <f t="shared" si="33"/>
        <v>Critical</v>
      </c>
      <c r="V261" s="26"/>
      <c r="W261" s="26">
        <f t="shared" si="34"/>
        <v>5</v>
      </c>
      <c r="X261" s="26">
        <f t="shared" si="35"/>
        <v>5</v>
      </c>
      <c r="Y261" s="26">
        <f t="shared" si="36"/>
        <v>25</v>
      </c>
      <c r="Z261" s="26" t="str">
        <f t="shared" si="37"/>
        <v>Critical</v>
      </c>
      <c r="AA261" s="26" t="str">
        <f t="shared" si="38"/>
        <v>No Change</v>
      </c>
      <c r="AB261" s="5">
        <f t="shared" si="39"/>
        <v>25.000026099999999</v>
      </c>
    </row>
    <row r="262" spans="1:28" ht="49.5" customHeight="1">
      <c r="A262" s="22">
        <v>257</v>
      </c>
      <c r="B262" s="30" t="s">
        <v>1038</v>
      </c>
      <c r="C262" s="30" t="s">
        <v>73</v>
      </c>
      <c r="D262" s="29" t="s">
        <v>1087</v>
      </c>
      <c r="E262" s="29" t="s">
        <v>1088</v>
      </c>
      <c r="F262" s="29" t="s">
        <v>1089</v>
      </c>
      <c r="G262" s="29" t="s">
        <v>659</v>
      </c>
      <c r="H262" s="29" t="s">
        <v>34</v>
      </c>
      <c r="I262" s="25">
        <f t="shared" ref="I262:I325" si="40">IFERROR(IF(H262="Unlikely",1,IF(H262="Possible",2,IF(H262="Likely",3,IF(H262="Almost Certain",4,IF(H262="Certain",5,""))))),"")</f>
        <v>5</v>
      </c>
      <c r="J262" s="29" t="s">
        <v>119</v>
      </c>
      <c r="K262" s="25">
        <f t="shared" ref="K262:K325" si="41">IFERROR(IF(J262="Negligible",1,IF(J262="Minor",2,IF(J262="Moderate",3,IF(J262="Major",4,IF(J262="Critical",5,""))))),"")</f>
        <v>3</v>
      </c>
      <c r="L262" s="26">
        <f t="shared" ref="L262:L325" si="42">IF(OR(I262="",K262=""),"",I262*K262)</f>
        <v>15</v>
      </c>
      <c r="M262" s="29" t="s">
        <v>1090</v>
      </c>
      <c r="N262" s="29"/>
      <c r="O262" s="29"/>
      <c r="P262" s="29"/>
      <c r="Q262" s="29" t="s">
        <v>1082</v>
      </c>
      <c r="R262" s="29"/>
      <c r="S262" s="29"/>
      <c r="T262" s="29"/>
      <c r="U262" s="26" t="str">
        <f t="shared" ref="U262:U325" si="43">IF(L262="","",IF(L262&lt;=4,"Low",IF(L262&lt;=9,"Medium",IF(L262&lt;=15,"High","Critical"))))</f>
        <v>High</v>
      </c>
      <c r="V262" s="26"/>
      <c r="W262" s="26">
        <f t="shared" ref="W262:W325" si="44">IF(I262="","",MAX(1,I262-(IF(V262="Limited",1,IF(V262="Partial",2,IF(V262="Substantial",3,IF(V262="Highly Effective",4,0)))))))</f>
        <v>5</v>
      </c>
      <c r="X262" s="26">
        <f t="shared" ref="X262:X325" si="45">IF(K262="","",MAX(1,K262-ROUNDDOWN((IF(V262="Limited",1,IF(V262="Partial",2,IF(V262="Substantial",3,IF(V262="Highly Effective",4,0)))))/2,0)))</f>
        <v>3</v>
      </c>
      <c r="Y262" s="26">
        <f t="shared" ref="Y262:Y325" si="46">IF(OR(W262="",X262=""),"",W262*X262)</f>
        <v>15</v>
      </c>
      <c r="Z262" s="26" t="str">
        <f t="shared" ref="Z262:Z325" si="47">IF(Y262="","",IF(Y262&lt;=4,"Low",IF(Y262&lt;=9,"Medium",IF(Y262&lt;=15,"High","Critical"))))</f>
        <v>High</v>
      </c>
      <c r="AA262" s="26" t="str">
        <f t="shared" ref="AA262:AA325" si="48">IF(OR(L262="",Y262=""),"",IF(Y262&lt;L262,"Reduced by "&amp;(L262-Y262)&amp;" pts",IF(Y262=L262,"No Change","Increased by "&amp;(Y262-L262)&amp;" pts")))</f>
        <v>No Change</v>
      </c>
      <c r="AB262" s="5">
        <f t="shared" ref="AB262:AB325" si="49">IF(Y262="","",Y262+(ROW()/10000000))</f>
        <v>15.000026200000001</v>
      </c>
    </row>
    <row r="263" spans="1:28" ht="49.5" customHeight="1">
      <c r="A263" s="22">
        <v>258</v>
      </c>
      <c r="B263" s="30" t="s">
        <v>1038</v>
      </c>
      <c r="C263" s="30" t="s">
        <v>73</v>
      </c>
      <c r="D263" s="29" t="s">
        <v>1091</v>
      </c>
      <c r="E263" s="29" t="s">
        <v>1092</v>
      </c>
      <c r="F263" s="29" t="s">
        <v>1093</v>
      </c>
      <c r="G263" s="29" t="s">
        <v>33</v>
      </c>
      <c r="H263" s="29" t="s">
        <v>44</v>
      </c>
      <c r="I263" s="25">
        <f t="shared" si="40"/>
        <v>4</v>
      </c>
      <c r="J263" s="29" t="s">
        <v>35</v>
      </c>
      <c r="K263" s="25">
        <f t="shared" si="41"/>
        <v>5</v>
      </c>
      <c r="L263" s="26">
        <f t="shared" si="42"/>
        <v>20</v>
      </c>
      <c r="M263" s="29" t="s">
        <v>1094</v>
      </c>
      <c r="N263" s="29"/>
      <c r="O263" s="29"/>
      <c r="P263" s="29"/>
      <c r="Q263" s="29" t="s">
        <v>1082</v>
      </c>
      <c r="R263" s="29"/>
      <c r="S263" s="29"/>
      <c r="T263" s="29"/>
      <c r="U263" s="26" t="str">
        <f t="shared" si="43"/>
        <v>Critical</v>
      </c>
      <c r="V263" s="26"/>
      <c r="W263" s="26">
        <f t="shared" si="44"/>
        <v>4</v>
      </c>
      <c r="X263" s="26">
        <f t="shared" si="45"/>
        <v>5</v>
      </c>
      <c r="Y263" s="26">
        <f t="shared" si="46"/>
        <v>20</v>
      </c>
      <c r="Z263" s="26" t="str">
        <f t="shared" si="47"/>
        <v>Critical</v>
      </c>
      <c r="AA263" s="26" t="str">
        <f t="shared" si="48"/>
        <v>No Change</v>
      </c>
      <c r="AB263" s="5">
        <f t="shared" si="49"/>
        <v>20.000026299999998</v>
      </c>
    </row>
    <row r="264" spans="1:28" ht="49.5" customHeight="1">
      <c r="A264" s="22">
        <v>259</v>
      </c>
      <c r="B264" s="30" t="s">
        <v>1038</v>
      </c>
      <c r="C264" s="30" t="s">
        <v>54</v>
      </c>
      <c r="D264" s="29" t="s">
        <v>1095</v>
      </c>
      <c r="E264" s="29" t="s">
        <v>1096</v>
      </c>
      <c r="F264" s="29" t="s">
        <v>1097</v>
      </c>
      <c r="G264" s="29" t="s">
        <v>43</v>
      </c>
      <c r="H264" s="29" t="s">
        <v>44</v>
      </c>
      <c r="I264" s="25">
        <f t="shared" si="40"/>
        <v>4</v>
      </c>
      <c r="J264" s="29" t="s">
        <v>35</v>
      </c>
      <c r="K264" s="25">
        <f t="shared" si="41"/>
        <v>5</v>
      </c>
      <c r="L264" s="26">
        <f t="shared" si="42"/>
        <v>20</v>
      </c>
      <c r="M264" s="29" t="s">
        <v>1098</v>
      </c>
      <c r="N264" s="29"/>
      <c r="O264" s="29"/>
      <c r="P264" s="29"/>
      <c r="Q264" s="29" t="s">
        <v>1082</v>
      </c>
      <c r="R264" s="29"/>
      <c r="S264" s="29"/>
      <c r="T264" s="29"/>
      <c r="U264" s="26" t="str">
        <f t="shared" si="43"/>
        <v>Critical</v>
      </c>
      <c r="V264" s="26"/>
      <c r="W264" s="26">
        <f t="shared" si="44"/>
        <v>4</v>
      </c>
      <c r="X264" s="26">
        <f t="shared" si="45"/>
        <v>5</v>
      </c>
      <c r="Y264" s="26">
        <f t="shared" si="46"/>
        <v>20</v>
      </c>
      <c r="Z264" s="26" t="str">
        <f t="shared" si="47"/>
        <v>Critical</v>
      </c>
      <c r="AA264" s="26" t="str">
        <f t="shared" si="48"/>
        <v>No Change</v>
      </c>
      <c r="AB264" s="5">
        <f t="shared" si="49"/>
        <v>20.000026399999999</v>
      </c>
    </row>
    <row r="265" spans="1:28" ht="49.5" customHeight="1">
      <c r="A265" s="22">
        <v>260</v>
      </c>
      <c r="B265" s="30" t="s">
        <v>1038</v>
      </c>
      <c r="C265" s="30" t="s">
        <v>171</v>
      </c>
      <c r="D265" s="29" t="s">
        <v>1099</v>
      </c>
      <c r="E265" s="29" t="s">
        <v>1100</v>
      </c>
      <c r="F265" s="29" t="s">
        <v>1101</v>
      </c>
      <c r="G265" s="29" t="s">
        <v>659</v>
      </c>
      <c r="H265" s="29" t="s">
        <v>44</v>
      </c>
      <c r="I265" s="25">
        <f t="shared" si="40"/>
        <v>4</v>
      </c>
      <c r="J265" s="29" t="s">
        <v>119</v>
      </c>
      <c r="K265" s="25">
        <f t="shared" si="41"/>
        <v>3</v>
      </c>
      <c r="L265" s="26">
        <f t="shared" si="42"/>
        <v>12</v>
      </c>
      <c r="M265" s="29" t="s">
        <v>1102</v>
      </c>
      <c r="N265" s="29"/>
      <c r="O265" s="29"/>
      <c r="P265" s="29"/>
      <c r="Q265" s="29" t="s">
        <v>1082</v>
      </c>
      <c r="R265" s="29"/>
      <c r="S265" s="29"/>
      <c r="T265" s="29"/>
      <c r="U265" s="26" t="str">
        <f t="shared" si="43"/>
        <v>High</v>
      </c>
      <c r="V265" s="26"/>
      <c r="W265" s="26">
        <f t="shared" si="44"/>
        <v>4</v>
      </c>
      <c r="X265" s="26">
        <f t="shared" si="45"/>
        <v>3</v>
      </c>
      <c r="Y265" s="26">
        <f t="shared" si="46"/>
        <v>12</v>
      </c>
      <c r="Z265" s="26" t="str">
        <f t="shared" si="47"/>
        <v>High</v>
      </c>
      <c r="AA265" s="26" t="str">
        <f t="shared" si="48"/>
        <v>No Change</v>
      </c>
      <c r="AB265" s="5">
        <f t="shared" si="49"/>
        <v>12.000026500000001</v>
      </c>
    </row>
    <row r="266" spans="1:28" ht="49.5" customHeight="1">
      <c r="A266" s="22">
        <v>261</v>
      </c>
      <c r="B266" s="30" t="s">
        <v>1038</v>
      </c>
      <c r="C266" s="30" t="s">
        <v>73</v>
      </c>
      <c r="D266" s="29" t="s">
        <v>1103</v>
      </c>
      <c r="E266" s="29" t="s">
        <v>1104</v>
      </c>
      <c r="F266" s="29" t="s">
        <v>1105</v>
      </c>
      <c r="G266" s="29" t="s">
        <v>58</v>
      </c>
      <c r="H266" s="29" t="s">
        <v>44</v>
      </c>
      <c r="I266" s="25">
        <f t="shared" si="40"/>
        <v>4</v>
      </c>
      <c r="J266" s="29" t="s">
        <v>119</v>
      </c>
      <c r="K266" s="25">
        <f t="shared" si="41"/>
        <v>3</v>
      </c>
      <c r="L266" s="26">
        <f t="shared" si="42"/>
        <v>12</v>
      </c>
      <c r="M266" s="29" t="s">
        <v>1106</v>
      </c>
      <c r="N266" s="29"/>
      <c r="O266" s="29"/>
      <c r="P266" s="29"/>
      <c r="Q266" s="29" t="s">
        <v>1107</v>
      </c>
      <c r="R266" s="29"/>
      <c r="S266" s="29"/>
      <c r="T266" s="29"/>
      <c r="U266" s="26" t="str">
        <f t="shared" si="43"/>
        <v>High</v>
      </c>
      <c r="V266" s="26"/>
      <c r="W266" s="26">
        <f t="shared" si="44"/>
        <v>4</v>
      </c>
      <c r="X266" s="26">
        <f t="shared" si="45"/>
        <v>3</v>
      </c>
      <c r="Y266" s="26">
        <f t="shared" si="46"/>
        <v>12</v>
      </c>
      <c r="Z266" s="26" t="str">
        <f t="shared" si="47"/>
        <v>High</v>
      </c>
      <c r="AA266" s="26" t="str">
        <f t="shared" si="48"/>
        <v>No Change</v>
      </c>
      <c r="AB266" s="5">
        <f t="shared" si="49"/>
        <v>12.0000266</v>
      </c>
    </row>
    <row r="267" spans="1:28" ht="49.5" customHeight="1">
      <c r="A267" s="22">
        <v>262</v>
      </c>
      <c r="B267" s="30" t="s">
        <v>1038</v>
      </c>
      <c r="C267" s="30" t="s">
        <v>73</v>
      </c>
      <c r="D267" s="29" t="s">
        <v>1108</v>
      </c>
      <c r="E267" s="29" t="s">
        <v>1109</v>
      </c>
      <c r="F267" s="29" t="s">
        <v>1110</v>
      </c>
      <c r="G267" s="29" t="s">
        <v>33</v>
      </c>
      <c r="H267" s="29" t="s">
        <v>44</v>
      </c>
      <c r="I267" s="25">
        <f t="shared" si="40"/>
        <v>4</v>
      </c>
      <c r="J267" s="29" t="s">
        <v>119</v>
      </c>
      <c r="K267" s="25">
        <f t="shared" si="41"/>
        <v>3</v>
      </c>
      <c r="L267" s="26">
        <f t="shared" si="42"/>
        <v>12</v>
      </c>
      <c r="M267" s="29" t="s">
        <v>1111</v>
      </c>
      <c r="N267" s="29"/>
      <c r="O267" s="29"/>
      <c r="P267" s="29"/>
      <c r="Q267" s="29" t="s">
        <v>1082</v>
      </c>
      <c r="R267" s="29"/>
      <c r="S267" s="29"/>
      <c r="T267" s="29"/>
      <c r="U267" s="26" t="str">
        <f t="shared" si="43"/>
        <v>High</v>
      </c>
      <c r="V267" s="26"/>
      <c r="W267" s="26">
        <f t="shared" si="44"/>
        <v>4</v>
      </c>
      <c r="X267" s="26">
        <f t="shared" si="45"/>
        <v>3</v>
      </c>
      <c r="Y267" s="26">
        <f t="shared" si="46"/>
        <v>12</v>
      </c>
      <c r="Z267" s="26" t="str">
        <f t="shared" si="47"/>
        <v>High</v>
      </c>
      <c r="AA267" s="26" t="str">
        <f t="shared" si="48"/>
        <v>No Change</v>
      </c>
      <c r="AB267" s="5">
        <f t="shared" si="49"/>
        <v>12.000026699999999</v>
      </c>
    </row>
    <row r="268" spans="1:28" ht="49.5" customHeight="1">
      <c r="A268" s="22">
        <v>263</v>
      </c>
      <c r="B268" s="30" t="s">
        <v>1038</v>
      </c>
      <c r="C268" s="30" t="s">
        <v>171</v>
      </c>
      <c r="D268" s="29" t="s">
        <v>896</v>
      </c>
      <c r="E268" s="29" t="s">
        <v>1112</v>
      </c>
      <c r="F268" s="29" t="s">
        <v>1113</v>
      </c>
      <c r="G268" s="29" t="s">
        <v>1114</v>
      </c>
      <c r="H268" s="29" t="s">
        <v>50</v>
      </c>
      <c r="I268" s="25">
        <f t="shared" si="40"/>
        <v>3</v>
      </c>
      <c r="J268" s="29" t="s">
        <v>51</v>
      </c>
      <c r="K268" s="25">
        <f t="shared" si="41"/>
        <v>4</v>
      </c>
      <c r="L268" s="26">
        <f t="shared" si="42"/>
        <v>12</v>
      </c>
      <c r="M268" s="29" t="s">
        <v>1115</v>
      </c>
      <c r="N268" s="29"/>
      <c r="O268" s="29"/>
      <c r="P268" s="29"/>
      <c r="Q268" s="29" t="s">
        <v>1116</v>
      </c>
      <c r="R268" s="29"/>
      <c r="S268" s="29"/>
      <c r="T268" s="29"/>
      <c r="U268" s="26" t="str">
        <f t="shared" si="43"/>
        <v>High</v>
      </c>
      <c r="V268" s="26"/>
      <c r="W268" s="26">
        <f t="shared" si="44"/>
        <v>3</v>
      </c>
      <c r="X268" s="26">
        <f t="shared" si="45"/>
        <v>4</v>
      </c>
      <c r="Y268" s="26">
        <f t="shared" si="46"/>
        <v>12</v>
      </c>
      <c r="Z268" s="26" t="str">
        <f t="shared" si="47"/>
        <v>High</v>
      </c>
      <c r="AA268" s="26" t="str">
        <f t="shared" si="48"/>
        <v>No Change</v>
      </c>
      <c r="AB268" s="5">
        <f t="shared" si="49"/>
        <v>12.000026800000001</v>
      </c>
    </row>
    <row r="269" spans="1:28" ht="49.5" customHeight="1">
      <c r="A269" s="22">
        <v>264</v>
      </c>
      <c r="B269" s="30" t="s">
        <v>1038</v>
      </c>
      <c r="C269" s="30" t="s">
        <v>171</v>
      </c>
      <c r="D269" s="29" t="s">
        <v>1117</v>
      </c>
      <c r="E269" s="29" t="s">
        <v>1118</v>
      </c>
      <c r="F269" s="29" t="s">
        <v>1119</v>
      </c>
      <c r="G269" s="29" t="s">
        <v>33</v>
      </c>
      <c r="H269" s="29" t="s">
        <v>50</v>
      </c>
      <c r="I269" s="25">
        <f t="shared" si="40"/>
        <v>3</v>
      </c>
      <c r="J269" s="29" t="s">
        <v>51</v>
      </c>
      <c r="K269" s="25">
        <f t="shared" si="41"/>
        <v>4</v>
      </c>
      <c r="L269" s="26">
        <f t="shared" si="42"/>
        <v>12</v>
      </c>
      <c r="M269" s="29" t="s">
        <v>1120</v>
      </c>
      <c r="N269" s="29"/>
      <c r="O269" s="29"/>
      <c r="P269" s="29"/>
      <c r="Q269" s="29" t="s">
        <v>1121</v>
      </c>
      <c r="R269" s="29"/>
      <c r="S269" s="29"/>
      <c r="T269" s="29"/>
      <c r="U269" s="26" t="str">
        <f t="shared" si="43"/>
        <v>High</v>
      </c>
      <c r="V269" s="26"/>
      <c r="W269" s="26">
        <f t="shared" si="44"/>
        <v>3</v>
      </c>
      <c r="X269" s="26">
        <f t="shared" si="45"/>
        <v>4</v>
      </c>
      <c r="Y269" s="26">
        <f t="shared" si="46"/>
        <v>12</v>
      </c>
      <c r="Z269" s="26" t="str">
        <f t="shared" si="47"/>
        <v>High</v>
      </c>
      <c r="AA269" s="26" t="str">
        <f t="shared" si="48"/>
        <v>No Change</v>
      </c>
      <c r="AB269" s="5">
        <f t="shared" si="49"/>
        <v>12.0000269</v>
      </c>
    </row>
    <row r="270" spans="1:28" ht="49.5" customHeight="1">
      <c r="A270" s="22">
        <v>265</v>
      </c>
      <c r="B270" s="30" t="s">
        <v>1038</v>
      </c>
      <c r="C270" s="30" t="s">
        <v>89</v>
      </c>
      <c r="D270" s="29" t="s">
        <v>1122</v>
      </c>
      <c r="E270" s="29" t="s">
        <v>1123</v>
      </c>
      <c r="F270" s="29" t="s">
        <v>1124</v>
      </c>
      <c r="G270" s="29" t="s">
        <v>33</v>
      </c>
      <c r="H270" s="29" t="s">
        <v>50</v>
      </c>
      <c r="I270" s="25">
        <f t="shared" si="40"/>
        <v>3</v>
      </c>
      <c r="J270" s="29" t="s">
        <v>51</v>
      </c>
      <c r="K270" s="25">
        <f t="shared" si="41"/>
        <v>4</v>
      </c>
      <c r="L270" s="26">
        <f t="shared" si="42"/>
        <v>12</v>
      </c>
      <c r="M270" s="29" t="s">
        <v>1125</v>
      </c>
      <c r="N270" s="29"/>
      <c r="O270" s="29"/>
      <c r="P270" s="29"/>
      <c r="Q270" s="29" t="s">
        <v>1126</v>
      </c>
      <c r="R270" s="29"/>
      <c r="S270" s="29"/>
      <c r="T270" s="29"/>
      <c r="U270" s="26" t="str">
        <f t="shared" si="43"/>
        <v>High</v>
      </c>
      <c r="V270" s="26"/>
      <c r="W270" s="26">
        <f t="shared" si="44"/>
        <v>3</v>
      </c>
      <c r="X270" s="26">
        <f t="shared" si="45"/>
        <v>4</v>
      </c>
      <c r="Y270" s="26">
        <f t="shared" si="46"/>
        <v>12</v>
      </c>
      <c r="Z270" s="26" t="str">
        <f t="shared" si="47"/>
        <v>High</v>
      </c>
      <c r="AA270" s="26" t="str">
        <f t="shared" si="48"/>
        <v>No Change</v>
      </c>
      <c r="AB270" s="5">
        <f t="shared" si="49"/>
        <v>12.000026999999999</v>
      </c>
    </row>
    <row r="271" spans="1:28" ht="49.5" customHeight="1">
      <c r="A271" s="22">
        <v>266</v>
      </c>
      <c r="B271" s="30" t="s">
        <v>1038</v>
      </c>
      <c r="C271" s="30" t="s">
        <v>171</v>
      </c>
      <c r="D271" s="29" t="s">
        <v>1127</v>
      </c>
      <c r="E271" s="29" t="s">
        <v>1128</v>
      </c>
      <c r="F271" s="29" t="s">
        <v>1129</v>
      </c>
      <c r="G271" s="29" t="s">
        <v>1114</v>
      </c>
      <c r="H271" s="29" t="s">
        <v>44</v>
      </c>
      <c r="I271" s="25">
        <f t="shared" si="40"/>
        <v>4</v>
      </c>
      <c r="J271" s="29" t="s">
        <v>35</v>
      </c>
      <c r="K271" s="25">
        <f t="shared" si="41"/>
        <v>5</v>
      </c>
      <c r="L271" s="26">
        <f t="shared" si="42"/>
        <v>20</v>
      </c>
      <c r="M271" s="29" t="s">
        <v>1130</v>
      </c>
      <c r="N271" s="29"/>
      <c r="O271" s="29"/>
      <c r="P271" s="29"/>
      <c r="Q271" s="29" t="s">
        <v>1131</v>
      </c>
      <c r="R271" s="29"/>
      <c r="S271" s="29"/>
      <c r="T271" s="29"/>
      <c r="U271" s="26" t="str">
        <f t="shared" si="43"/>
        <v>Critical</v>
      </c>
      <c r="V271" s="26"/>
      <c r="W271" s="26">
        <f t="shared" si="44"/>
        <v>4</v>
      </c>
      <c r="X271" s="26">
        <f t="shared" si="45"/>
        <v>5</v>
      </c>
      <c r="Y271" s="26">
        <f t="shared" si="46"/>
        <v>20</v>
      </c>
      <c r="Z271" s="26" t="str">
        <f t="shared" si="47"/>
        <v>Critical</v>
      </c>
      <c r="AA271" s="26" t="str">
        <f t="shared" si="48"/>
        <v>No Change</v>
      </c>
      <c r="AB271" s="5">
        <f t="shared" si="49"/>
        <v>20.000027100000001</v>
      </c>
    </row>
    <row r="272" spans="1:28" ht="49.5" customHeight="1">
      <c r="A272" s="22">
        <v>267</v>
      </c>
      <c r="B272" s="30" t="s">
        <v>1038</v>
      </c>
      <c r="C272" s="30" t="s">
        <v>39</v>
      </c>
      <c r="D272" s="29" t="s">
        <v>1132</v>
      </c>
      <c r="E272" s="29" t="s">
        <v>1133</v>
      </c>
      <c r="F272" s="29" t="s">
        <v>1134</v>
      </c>
      <c r="G272" s="29" t="s">
        <v>245</v>
      </c>
      <c r="H272" s="29" t="s">
        <v>44</v>
      </c>
      <c r="I272" s="25">
        <f t="shared" si="40"/>
        <v>4</v>
      </c>
      <c r="J272" s="29" t="s">
        <v>35</v>
      </c>
      <c r="K272" s="25">
        <f t="shared" si="41"/>
        <v>5</v>
      </c>
      <c r="L272" s="26">
        <f t="shared" si="42"/>
        <v>20</v>
      </c>
      <c r="M272" s="29" t="s">
        <v>1135</v>
      </c>
      <c r="N272" s="29"/>
      <c r="O272" s="29"/>
      <c r="P272" s="29"/>
      <c r="Q272" s="29" t="s">
        <v>1136</v>
      </c>
      <c r="R272" s="29"/>
      <c r="S272" s="29"/>
      <c r="T272" s="29"/>
      <c r="U272" s="26" t="str">
        <f t="shared" si="43"/>
        <v>Critical</v>
      </c>
      <c r="V272" s="26"/>
      <c r="W272" s="26">
        <f t="shared" si="44"/>
        <v>4</v>
      </c>
      <c r="X272" s="26">
        <f t="shared" si="45"/>
        <v>5</v>
      </c>
      <c r="Y272" s="26">
        <f t="shared" si="46"/>
        <v>20</v>
      </c>
      <c r="Z272" s="26" t="str">
        <f t="shared" si="47"/>
        <v>Critical</v>
      </c>
      <c r="AA272" s="26" t="str">
        <f t="shared" si="48"/>
        <v>No Change</v>
      </c>
      <c r="AB272" s="5">
        <f t="shared" si="49"/>
        <v>20.000027200000002</v>
      </c>
    </row>
    <row r="273" spans="1:28" ht="49.5" customHeight="1">
      <c r="A273" s="22">
        <v>268</v>
      </c>
      <c r="B273" s="30" t="s">
        <v>1038</v>
      </c>
      <c r="C273" s="30" t="s">
        <v>138</v>
      </c>
      <c r="D273" s="29" t="s">
        <v>1137</v>
      </c>
      <c r="E273" s="29" t="s">
        <v>1138</v>
      </c>
      <c r="F273" s="29" t="s">
        <v>1139</v>
      </c>
      <c r="G273" s="29" t="s">
        <v>356</v>
      </c>
      <c r="H273" s="29" t="s">
        <v>50</v>
      </c>
      <c r="I273" s="25">
        <f t="shared" si="40"/>
        <v>3</v>
      </c>
      <c r="J273" s="29" t="s">
        <v>51</v>
      </c>
      <c r="K273" s="25">
        <f t="shared" si="41"/>
        <v>4</v>
      </c>
      <c r="L273" s="26">
        <f t="shared" si="42"/>
        <v>12</v>
      </c>
      <c r="M273" s="29" t="s">
        <v>1140</v>
      </c>
      <c r="N273" s="29"/>
      <c r="O273" s="29"/>
      <c r="P273" s="29"/>
      <c r="Q273" s="29" t="s">
        <v>1141</v>
      </c>
      <c r="R273" s="29"/>
      <c r="S273" s="29"/>
      <c r="T273" s="29"/>
      <c r="U273" s="26" t="str">
        <f t="shared" si="43"/>
        <v>High</v>
      </c>
      <c r="V273" s="26"/>
      <c r="W273" s="26">
        <f t="shared" si="44"/>
        <v>3</v>
      </c>
      <c r="X273" s="26">
        <f t="shared" si="45"/>
        <v>4</v>
      </c>
      <c r="Y273" s="26">
        <f t="shared" si="46"/>
        <v>12</v>
      </c>
      <c r="Z273" s="26" t="str">
        <f t="shared" si="47"/>
        <v>High</v>
      </c>
      <c r="AA273" s="26" t="str">
        <f t="shared" si="48"/>
        <v>No Change</v>
      </c>
      <c r="AB273" s="5">
        <f t="shared" si="49"/>
        <v>12.000027299999999</v>
      </c>
    </row>
    <row r="274" spans="1:28" ht="49.5" customHeight="1">
      <c r="A274" s="22">
        <v>269</v>
      </c>
      <c r="B274" s="30" t="s">
        <v>1038</v>
      </c>
      <c r="C274" s="30" t="s">
        <v>61</v>
      </c>
      <c r="D274" s="29" t="s">
        <v>1142</v>
      </c>
      <c r="E274" s="29" t="s">
        <v>1143</v>
      </c>
      <c r="F274" s="29" t="s">
        <v>1144</v>
      </c>
      <c r="G274" s="29" t="s">
        <v>356</v>
      </c>
      <c r="H274" s="29" t="s">
        <v>50</v>
      </c>
      <c r="I274" s="25">
        <f t="shared" si="40"/>
        <v>3</v>
      </c>
      <c r="J274" s="29" t="s">
        <v>119</v>
      </c>
      <c r="K274" s="25">
        <f t="shared" si="41"/>
        <v>3</v>
      </c>
      <c r="L274" s="26">
        <f t="shared" si="42"/>
        <v>9</v>
      </c>
      <c r="M274" s="29" t="s">
        <v>1145</v>
      </c>
      <c r="N274" s="29"/>
      <c r="O274" s="29"/>
      <c r="P274" s="29"/>
      <c r="Q274" s="29" t="s">
        <v>1146</v>
      </c>
      <c r="R274" s="29"/>
      <c r="S274" s="29"/>
      <c r="T274" s="29"/>
      <c r="U274" s="26" t="str">
        <f t="shared" si="43"/>
        <v>Medium</v>
      </c>
      <c r="V274" s="26"/>
      <c r="W274" s="26">
        <f t="shared" si="44"/>
        <v>3</v>
      </c>
      <c r="X274" s="26">
        <f t="shared" si="45"/>
        <v>3</v>
      </c>
      <c r="Y274" s="26">
        <f t="shared" si="46"/>
        <v>9</v>
      </c>
      <c r="Z274" s="26" t="str">
        <f t="shared" si="47"/>
        <v>Medium</v>
      </c>
      <c r="AA274" s="26" t="str">
        <f t="shared" si="48"/>
        <v>No Change</v>
      </c>
      <c r="AB274" s="5">
        <f t="shared" si="49"/>
        <v>9.0000274000000005</v>
      </c>
    </row>
    <row r="275" spans="1:28" ht="49.5" customHeight="1">
      <c r="A275" s="22">
        <v>270</v>
      </c>
      <c r="B275" s="30" t="s">
        <v>1038</v>
      </c>
      <c r="C275" s="30" t="s">
        <v>61</v>
      </c>
      <c r="D275" s="29" t="s">
        <v>1147</v>
      </c>
      <c r="E275" s="29" t="s">
        <v>1148</v>
      </c>
      <c r="F275" s="29" t="s">
        <v>1149</v>
      </c>
      <c r="G275" s="29" t="s">
        <v>245</v>
      </c>
      <c r="H275" s="29" t="s">
        <v>108</v>
      </c>
      <c r="I275" s="25">
        <f t="shared" si="40"/>
        <v>2</v>
      </c>
      <c r="J275" s="29" t="s">
        <v>119</v>
      </c>
      <c r="K275" s="25">
        <f t="shared" si="41"/>
        <v>3</v>
      </c>
      <c r="L275" s="26">
        <f t="shared" si="42"/>
        <v>6</v>
      </c>
      <c r="M275" s="29" t="s">
        <v>1150</v>
      </c>
      <c r="N275" s="29"/>
      <c r="O275" s="29"/>
      <c r="P275" s="29"/>
      <c r="Q275" s="29" t="s">
        <v>1151</v>
      </c>
      <c r="R275" s="29"/>
      <c r="S275" s="29"/>
      <c r="T275" s="29"/>
      <c r="U275" s="26" t="str">
        <f t="shared" si="43"/>
        <v>Medium</v>
      </c>
      <c r="V275" s="26"/>
      <c r="W275" s="26">
        <f t="shared" si="44"/>
        <v>2</v>
      </c>
      <c r="X275" s="26">
        <f t="shared" si="45"/>
        <v>3</v>
      </c>
      <c r="Y275" s="26">
        <f t="shared" si="46"/>
        <v>6</v>
      </c>
      <c r="Z275" s="26" t="str">
        <f t="shared" si="47"/>
        <v>Medium</v>
      </c>
      <c r="AA275" s="26" t="str">
        <f t="shared" si="48"/>
        <v>No Change</v>
      </c>
      <c r="AB275" s="5">
        <f t="shared" si="49"/>
        <v>6.0000274999999998</v>
      </c>
    </row>
    <row r="276" spans="1:28" ht="49.5" customHeight="1">
      <c r="A276" s="22">
        <v>271</v>
      </c>
      <c r="B276" s="30" t="s">
        <v>1038</v>
      </c>
      <c r="C276" s="30" t="s">
        <v>29</v>
      </c>
      <c r="D276" s="29" t="s">
        <v>1152</v>
      </c>
      <c r="E276" s="29" t="s">
        <v>1153</v>
      </c>
      <c r="F276" s="29" t="s">
        <v>1154</v>
      </c>
      <c r="G276" s="29" t="s">
        <v>33</v>
      </c>
      <c r="H276" s="29" t="s">
        <v>50</v>
      </c>
      <c r="I276" s="25">
        <f t="shared" si="40"/>
        <v>3</v>
      </c>
      <c r="J276" s="29" t="s">
        <v>119</v>
      </c>
      <c r="K276" s="25">
        <f t="shared" si="41"/>
        <v>3</v>
      </c>
      <c r="L276" s="26">
        <f t="shared" si="42"/>
        <v>9</v>
      </c>
      <c r="M276" s="29" t="s">
        <v>1155</v>
      </c>
      <c r="N276" s="29"/>
      <c r="O276" s="29"/>
      <c r="P276" s="29"/>
      <c r="Q276" s="29" t="s">
        <v>1156</v>
      </c>
      <c r="R276" s="29"/>
      <c r="S276" s="29"/>
      <c r="T276" s="29"/>
      <c r="U276" s="26" t="str">
        <f t="shared" si="43"/>
        <v>Medium</v>
      </c>
      <c r="V276" s="26"/>
      <c r="W276" s="26">
        <f t="shared" si="44"/>
        <v>3</v>
      </c>
      <c r="X276" s="26">
        <f t="shared" si="45"/>
        <v>3</v>
      </c>
      <c r="Y276" s="26">
        <f t="shared" si="46"/>
        <v>9</v>
      </c>
      <c r="Z276" s="26" t="str">
        <f t="shared" si="47"/>
        <v>Medium</v>
      </c>
      <c r="AA276" s="26" t="str">
        <f t="shared" si="48"/>
        <v>No Change</v>
      </c>
      <c r="AB276" s="5">
        <f t="shared" si="49"/>
        <v>9.0000275999999992</v>
      </c>
    </row>
    <row r="277" spans="1:28" ht="49.5" customHeight="1">
      <c r="A277" s="22">
        <v>272</v>
      </c>
      <c r="B277" s="30" t="s">
        <v>1038</v>
      </c>
      <c r="C277" s="30" t="s">
        <v>54</v>
      </c>
      <c r="D277" s="29" t="s">
        <v>1157</v>
      </c>
      <c r="E277" s="29" t="s">
        <v>1158</v>
      </c>
      <c r="F277" s="29" t="s">
        <v>1159</v>
      </c>
      <c r="G277" s="29" t="s">
        <v>356</v>
      </c>
      <c r="H277" s="29" t="s">
        <v>50</v>
      </c>
      <c r="I277" s="25">
        <f t="shared" si="40"/>
        <v>3</v>
      </c>
      <c r="J277" s="29" t="s">
        <v>119</v>
      </c>
      <c r="K277" s="25">
        <f t="shared" si="41"/>
        <v>3</v>
      </c>
      <c r="L277" s="26">
        <f t="shared" si="42"/>
        <v>9</v>
      </c>
      <c r="M277" s="29" t="s">
        <v>1160</v>
      </c>
      <c r="N277" s="29"/>
      <c r="O277" s="29"/>
      <c r="P277" s="29"/>
      <c r="Q277" s="29" t="s">
        <v>1161</v>
      </c>
      <c r="R277" s="29"/>
      <c r="S277" s="29"/>
      <c r="T277" s="29"/>
      <c r="U277" s="26" t="str">
        <f t="shared" si="43"/>
        <v>Medium</v>
      </c>
      <c r="V277" s="26"/>
      <c r="W277" s="26">
        <f t="shared" si="44"/>
        <v>3</v>
      </c>
      <c r="X277" s="26">
        <f t="shared" si="45"/>
        <v>3</v>
      </c>
      <c r="Y277" s="26">
        <f t="shared" si="46"/>
        <v>9</v>
      </c>
      <c r="Z277" s="26" t="str">
        <f t="shared" si="47"/>
        <v>Medium</v>
      </c>
      <c r="AA277" s="26" t="str">
        <f t="shared" si="48"/>
        <v>No Change</v>
      </c>
      <c r="AB277" s="5">
        <f t="shared" si="49"/>
        <v>9.0000277000000004</v>
      </c>
    </row>
    <row r="278" spans="1:28" ht="49.5" customHeight="1">
      <c r="A278" s="22">
        <v>273</v>
      </c>
      <c r="B278" s="30"/>
      <c r="C278" s="30"/>
      <c r="D278" s="29"/>
      <c r="E278" s="29"/>
      <c r="F278" s="29"/>
      <c r="G278" s="29"/>
      <c r="H278" s="29"/>
      <c r="I278" s="25" t="str">
        <f t="shared" si="40"/>
        <v/>
      </c>
      <c r="J278" s="29"/>
      <c r="K278" s="25" t="str">
        <f t="shared" si="41"/>
        <v/>
      </c>
      <c r="L278" s="26" t="str">
        <f t="shared" si="42"/>
        <v/>
      </c>
      <c r="M278" s="29"/>
      <c r="N278" s="29"/>
      <c r="O278" s="29"/>
      <c r="P278" s="29"/>
      <c r="Q278" s="29"/>
      <c r="R278" s="29"/>
      <c r="S278" s="29"/>
      <c r="T278" s="29"/>
      <c r="U278" s="26" t="str">
        <f t="shared" si="43"/>
        <v/>
      </c>
      <c r="V278" s="26"/>
      <c r="W278" s="26" t="str">
        <f t="shared" si="44"/>
        <v/>
      </c>
      <c r="X278" s="26" t="str">
        <f t="shared" si="45"/>
        <v/>
      </c>
      <c r="Y278" s="26" t="str">
        <f t="shared" si="46"/>
        <v/>
      </c>
      <c r="Z278" s="26" t="str">
        <f t="shared" si="47"/>
        <v/>
      </c>
      <c r="AA278" s="26" t="str">
        <f t="shared" si="48"/>
        <v/>
      </c>
      <c r="AB278" s="5" t="str">
        <f t="shared" si="49"/>
        <v/>
      </c>
    </row>
    <row r="279" spans="1:28" ht="49.5" customHeight="1">
      <c r="A279" s="22">
        <v>274</v>
      </c>
      <c r="B279" s="30"/>
      <c r="C279" s="30"/>
      <c r="D279" s="29"/>
      <c r="E279" s="29"/>
      <c r="F279" s="29"/>
      <c r="G279" s="29"/>
      <c r="H279" s="29"/>
      <c r="I279" s="25" t="str">
        <f t="shared" si="40"/>
        <v/>
      </c>
      <c r="J279" s="29"/>
      <c r="K279" s="25" t="str">
        <f t="shared" si="41"/>
        <v/>
      </c>
      <c r="L279" s="26" t="str">
        <f t="shared" si="42"/>
        <v/>
      </c>
      <c r="M279" s="29"/>
      <c r="N279" s="29"/>
      <c r="O279" s="29"/>
      <c r="P279" s="29"/>
      <c r="Q279" s="29"/>
      <c r="R279" s="29"/>
      <c r="S279" s="29"/>
      <c r="T279" s="29"/>
      <c r="U279" s="26" t="str">
        <f t="shared" si="43"/>
        <v/>
      </c>
      <c r="V279" s="26"/>
      <c r="W279" s="26" t="str">
        <f t="shared" si="44"/>
        <v/>
      </c>
      <c r="X279" s="26" t="str">
        <f t="shared" si="45"/>
        <v/>
      </c>
      <c r="Y279" s="26" t="str">
        <f t="shared" si="46"/>
        <v/>
      </c>
      <c r="Z279" s="26" t="str">
        <f t="shared" si="47"/>
        <v/>
      </c>
      <c r="AA279" s="26" t="str">
        <f t="shared" si="48"/>
        <v/>
      </c>
      <c r="AB279" s="5" t="str">
        <f t="shared" si="49"/>
        <v/>
      </c>
    </row>
    <row r="280" spans="1:28" ht="49.5" customHeight="1">
      <c r="A280" s="22">
        <v>275</v>
      </c>
      <c r="B280" s="30"/>
      <c r="C280" s="30"/>
      <c r="D280" s="29"/>
      <c r="E280" s="29"/>
      <c r="F280" s="29"/>
      <c r="G280" s="29"/>
      <c r="H280" s="29"/>
      <c r="I280" s="25" t="str">
        <f t="shared" si="40"/>
        <v/>
      </c>
      <c r="J280" s="29"/>
      <c r="K280" s="25" t="str">
        <f t="shared" si="41"/>
        <v/>
      </c>
      <c r="L280" s="26" t="str">
        <f t="shared" si="42"/>
        <v/>
      </c>
      <c r="M280" s="29"/>
      <c r="N280" s="29"/>
      <c r="O280" s="29"/>
      <c r="P280" s="29"/>
      <c r="Q280" s="29"/>
      <c r="R280" s="29"/>
      <c r="S280" s="29"/>
      <c r="T280" s="29"/>
      <c r="U280" s="26" t="str">
        <f t="shared" si="43"/>
        <v/>
      </c>
      <c r="V280" s="26"/>
      <c r="W280" s="26" t="str">
        <f t="shared" si="44"/>
        <v/>
      </c>
      <c r="X280" s="26" t="str">
        <f t="shared" si="45"/>
        <v/>
      </c>
      <c r="Y280" s="26" t="str">
        <f t="shared" si="46"/>
        <v/>
      </c>
      <c r="Z280" s="26" t="str">
        <f t="shared" si="47"/>
        <v/>
      </c>
      <c r="AA280" s="26" t="str">
        <f t="shared" si="48"/>
        <v/>
      </c>
      <c r="AB280" s="5" t="str">
        <f t="shared" si="49"/>
        <v/>
      </c>
    </row>
    <row r="281" spans="1:28" ht="49.5" customHeight="1">
      <c r="A281" s="22">
        <v>276</v>
      </c>
      <c r="B281" s="30"/>
      <c r="C281" s="30"/>
      <c r="D281" s="29"/>
      <c r="E281" s="29"/>
      <c r="F281" s="29"/>
      <c r="G281" s="29"/>
      <c r="H281" s="29"/>
      <c r="I281" s="25" t="str">
        <f t="shared" si="40"/>
        <v/>
      </c>
      <c r="J281" s="29"/>
      <c r="K281" s="25" t="str">
        <f t="shared" si="41"/>
        <v/>
      </c>
      <c r="L281" s="26" t="str">
        <f t="shared" si="42"/>
        <v/>
      </c>
      <c r="M281" s="29"/>
      <c r="N281" s="29"/>
      <c r="O281" s="29"/>
      <c r="P281" s="29"/>
      <c r="Q281" s="29"/>
      <c r="R281" s="29"/>
      <c r="S281" s="29"/>
      <c r="T281" s="29"/>
      <c r="U281" s="26" t="str">
        <f t="shared" si="43"/>
        <v/>
      </c>
      <c r="V281" s="26"/>
      <c r="W281" s="26" t="str">
        <f t="shared" si="44"/>
        <v/>
      </c>
      <c r="X281" s="26" t="str">
        <f t="shared" si="45"/>
        <v/>
      </c>
      <c r="Y281" s="26" t="str">
        <f t="shared" si="46"/>
        <v/>
      </c>
      <c r="Z281" s="26" t="str">
        <f t="shared" si="47"/>
        <v/>
      </c>
      <c r="AA281" s="26" t="str">
        <f t="shared" si="48"/>
        <v/>
      </c>
      <c r="AB281" s="5" t="str">
        <f t="shared" si="49"/>
        <v/>
      </c>
    </row>
    <row r="282" spans="1:28" ht="49.5" customHeight="1">
      <c r="A282" s="22">
        <v>277</v>
      </c>
      <c r="B282" s="30"/>
      <c r="C282" s="30"/>
      <c r="D282" s="29"/>
      <c r="E282" s="29"/>
      <c r="F282" s="29"/>
      <c r="G282" s="29"/>
      <c r="H282" s="29"/>
      <c r="I282" s="25" t="str">
        <f t="shared" si="40"/>
        <v/>
      </c>
      <c r="J282" s="29"/>
      <c r="K282" s="25" t="str">
        <f t="shared" si="41"/>
        <v/>
      </c>
      <c r="L282" s="26" t="str">
        <f t="shared" si="42"/>
        <v/>
      </c>
      <c r="M282" s="29"/>
      <c r="N282" s="29"/>
      <c r="O282" s="29"/>
      <c r="P282" s="29"/>
      <c r="Q282" s="29"/>
      <c r="R282" s="29"/>
      <c r="S282" s="29"/>
      <c r="T282" s="29"/>
      <c r="U282" s="26" t="str">
        <f t="shared" si="43"/>
        <v/>
      </c>
      <c r="V282" s="26"/>
      <c r="W282" s="26" t="str">
        <f t="shared" si="44"/>
        <v/>
      </c>
      <c r="X282" s="26" t="str">
        <f t="shared" si="45"/>
        <v/>
      </c>
      <c r="Y282" s="26" t="str">
        <f t="shared" si="46"/>
        <v/>
      </c>
      <c r="Z282" s="26" t="str">
        <f t="shared" si="47"/>
        <v/>
      </c>
      <c r="AA282" s="26" t="str">
        <f t="shared" si="48"/>
        <v/>
      </c>
      <c r="AB282" s="5" t="str">
        <f t="shared" si="49"/>
        <v/>
      </c>
    </row>
    <row r="283" spans="1:28" ht="49.5" customHeight="1">
      <c r="A283" s="22">
        <v>278</v>
      </c>
      <c r="B283" s="30"/>
      <c r="C283" s="30"/>
      <c r="D283" s="29"/>
      <c r="E283" s="29"/>
      <c r="F283" s="29"/>
      <c r="G283" s="29"/>
      <c r="H283" s="29"/>
      <c r="I283" s="25" t="str">
        <f t="shared" si="40"/>
        <v/>
      </c>
      <c r="J283" s="29"/>
      <c r="K283" s="25" t="str">
        <f t="shared" si="41"/>
        <v/>
      </c>
      <c r="L283" s="26" t="str">
        <f t="shared" si="42"/>
        <v/>
      </c>
      <c r="M283" s="29"/>
      <c r="N283" s="29"/>
      <c r="O283" s="29"/>
      <c r="P283" s="29"/>
      <c r="Q283" s="29"/>
      <c r="R283" s="29"/>
      <c r="S283" s="29"/>
      <c r="T283" s="29"/>
      <c r="U283" s="26" t="str">
        <f t="shared" si="43"/>
        <v/>
      </c>
      <c r="V283" s="26"/>
      <c r="W283" s="26" t="str">
        <f t="shared" si="44"/>
        <v/>
      </c>
      <c r="X283" s="26" t="str">
        <f t="shared" si="45"/>
        <v/>
      </c>
      <c r="Y283" s="26" t="str">
        <f t="shared" si="46"/>
        <v/>
      </c>
      <c r="Z283" s="26" t="str">
        <f t="shared" si="47"/>
        <v/>
      </c>
      <c r="AA283" s="26" t="str">
        <f t="shared" si="48"/>
        <v/>
      </c>
      <c r="AB283" s="5" t="str">
        <f t="shared" si="49"/>
        <v/>
      </c>
    </row>
    <row r="284" spans="1:28" ht="49.5" customHeight="1">
      <c r="A284" s="22">
        <v>279</v>
      </c>
      <c r="B284" s="30"/>
      <c r="C284" s="30"/>
      <c r="D284" s="29"/>
      <c r="E284" s="29"/>
      <c r="F284" s="29"/>
      <c r="G284" s="29"/>
      <c r="H284" s="29"/>
      <c r="I284" s="25" t="str">
        <f t="shared" si="40"/>
        <v/>
      </c>
      <c r="J284" s="29"/>
      <c r="K284" s="25" t="str">
        <f t="shared" si="41"/>
        <v/>
      </c>
      <c r="L284" s="26" t="str">
        <f t="shared" si="42"/>
        <v/>
      </c>
      <c r="M284" s="29"/>
      <c r="N284" s="29"/>
      <c r="O284" s="29"/>
      <c r="P284" s="29"/>
      <c r="Q284" s="29"/>
      <c r="R284" s="29"/>
      <c r="S284" s="29"/>
      <c r="T284" s="29"/>
      <c r="U284" s="26" t="str">
        <f t="shared" si="43"/>
        <v/>
      </c>
      <c r="V284" s="26"/>
      <c r="W284" s="26" t="str">
        <f t="shared" si="44"/>
        <v/>
      </c>
      <c r="X284" s="26" t="str">
        <f t="shared" si="45"/>
        <v/>
      </c>
      <c r="Y284" s="26" t="str">
        <f t="shared" si="46"/>
        <v/>
      </c>
      <c r="Z284" s="26" t="str">
        <f t="shared" si="47"/>
        <v/>
      </c>
      <c r="AA284" s="26" t="str">
        <f t="shared" si="48"/>
        <v/>
      </c>
      <c r="AB284" s="5" t="str">
        <f t="shared" si="49"/>
        <v/>
      </c>
    </row>
    <row r="285" spans="1:28" ht="49.5" customHeight="1">
      <c r="A285" s="22">
        <v>280</v>
      </c>
      <c r="B285" s="30"/>
      <c r="C285" s="30"/>
      <c r="D285" s="29"/>
      <c r="E285" s="29"/>
      <c r="F285" s="29"/>
      <c r="G285" s="29"/>
      <c r="H285" s="29"/>
      <c r="I285" s="25" t="str">
        <f t="shared" si="40"/>
        <v/>
      </c>
      <c r="J285" s="29"/>
      <c r="K285" s="25" t="str">
        <f t="shared" si="41"/>
        <v/>
      </c>
      <c r="L285" s="26" t="str">
        <f t="shared" si="42"/>
        <v/>
      </c>
      <c r="M285" s="29"/>
      <c r="N285" s="29"/>
      <c r="O285" s="29"/>
      <c r="P285" s="29"/>
      <c r="Q285" s="29"/>
      <c r="R285" s="29"/>
      <c r="S285" s="29"/>
      <c r="T285" s="29"/>
      <c r="U285" s="26" t="str">
        <f t="shared" si="43"/>
        <v/>
      </c>
      <c r="V285" s="26"/>
      <c r="W285" s="26" t="str">
        <f t="shared" si="44"/>
        <v/>
      </c>
      <c r="X285" s="26" t="str">
        <f t="shared" si="45"/>
        <v/>
      </c>
      <c r="Y285" s="26" t="str">
        <f t="shared" si="46"/>
        <v/>
      </c>
      <c r="Z285" s="26" t="str">
        <f t="shared" si="47"/>
        <v/>
      </c>
      <c r="AA285" s="26" t="str">
        <f t="shared" si="48"/>
        <v/>
      </c>
      <c r="AB285" s="5" t="str">
        <f t="shared" si="49"/>
        <v/>
      </c>
    </row>
    <row r="286" spans="1:28" ht="49.5" customHeight="1">
      <c r="A286" s="22">
        <v>281</v>
      </c>
      <c r="B286" s="30"/>
      <c r="C286" s="30"/>
      <c r="D286" s="29"/>
      <c r="E286" s="29"/>
      <c r="F286" s="29"/>
      <c r="G286" s="29"/>
      <c r="H286" s="29"/>
      <c r="I286" s="25" t="str">
        <f t="shared" si="40"/>
        <v/>
      </c>
      <c r="J286" s="29"/>
      <c r="K286" s="25" t="str">
        <f t="shared" si="41"/>
        <v/>
      </c>
      <c r="L286" s="26" t="str">
        <f t="shared" si="42"/>
        <v/>
      </c>
      <c r="M286" s="29"/>
      <c r="N286" s="29"/>
      <c r="O286" s="29"/>
      <c r="P286" s="29"/>
      <c r="Q286" s="29"/>
      <c r="R286" s="29"/>
      <c r="S286" s="29"/>
      <c r="T286" s="29"/>
      <c r="U286" s="26" t="str">
        <f t="shared" si="43"/>
        <v/>
      </c>
      <c r="V286" s="26"/>
      <c r="W286" s="26" t="str">
        <f t="shared" si="44"/>
        <v/>
      </c>
      <c r="X286" s="26" t="str">
        <f t="shared" si="45"/>
        <v/>
      </c>
      <c r="Y286" s="26" t="str">
        <f t="shared" si="46"/>
        <v/>
      </c>
      <c r="Z286" s="26" t="str">
        <f t="shared" si="47"/>
        <v/>
      </c>
      <c r="AA286" s="26" t="str">
        <f t="shared" si="48"/>
        <v/>
      </c>
      <c r="AB286" s="5" t="str">
        <f t="shared" si="49"/>
        <v/>
      </c>
    </row>
    <row r="287" spans="1:28" ht="49.5" customHeight="1">
      <c r="A287" s="22">
        <v>282</v>
      </c>
      <c r="B287" s="30"/>
      <c r="C287" s="30"/>
      <c r="D287" s="29"/>
      <c r="E287" s="29"/>
      <c r="F287" s="29"/>
      <c r="G287" s="29"/>
      <c r="H287" s="29"/>
      <c r="I287" s="25" t="str">
        <f t="shared" si="40"/>
        <v/>
      </c>
      <c r="J287" s="29"/>
      <c r="K287" s="25" t="str">
        <f t="shared" si="41"/>
        <v/>
      </c>
      <c r="L287" s="26" t="str">
        <f t="shared" si="42"/>
        <v/>
      </c>
      <c r="M287" s="29"/>
      <c r="N287" s="29"/>
      <c r="O287" s="29"/>
      <c r="P287" s="29"/>
      <c r="Q287" s="29"/>
      <c r="R287" s="29"/>
      <c r="S287" s="29"/>
      <c r="T287" s="29"/>
      <c r="U287" s="26" t="str">
        <f t="shared" si="43"/>
        <v/>
      </c>
      <c r="V287" s="26"/>
      <c r="W287" s="26" t="str">
        <f t="shared" si="44"/>
        <v/>
      </c>
      <c r="X287" s="26" t="str">
        <f t="shared" si="45"/>
        <v/>
      </c>
      <c r="Y287" s="26" t="str">
        <f t="shared" si="46"/>
        <v/>
      </c>
      <c r="Z287" s="26" t="str">
        <f t="shared" si="47"/>
        <v/>
      </c>
      <c r="AA287" s="26" t="str">
        <f t="shared" si="48"/>
        <v/>
      </c>
      <c r="AB287" s="5" t="str">
        <f t="shared" si="49"/>
        <v/>
      </c>
    </row>
    <row r="288" spans="1:28" ht="49.5" customHeight="1">
      <c r="A288" s="22">
        <v>283</v>
      </c>
      <c r="B288" s="30"/>
      <c r="C288" s="30"/>
      <c r="D288" s="29"/>
      <c r="E288" s="29"/>
      <c r="F288" s="29"/>
      <c r="G288" s="29"/>
      <c r="H288" s="29"/>
      <c r="I288" s="25" t="str">
        <f t="shared" si="40"/>
        <v/>
      </c>
      <c r="J288" s="29"/>
      <c r="K288" s="25" t="str">
        <f t="shared" si="41"/>
        <v/>
      </c>
      <c r="L288" s="26" t="str">
        <f t="shared" si="42"/>
        <v/>
      </c>
      <c r="M288" s="29"/>
      <c r="N288" s="29"/>
      <c r="O288" s="29"/>
      <c r="P288" s="29"/>
      <c r="Q288" s="29"/>
      <c r="R288" s="29"/>
      <c r="S288" s="29"/>
      <c r="T288" s="29"/>
      <c r="U288" s="26" t="str">
        <f t="shared" si="43"/>
        <v/>
      </c>
      <c r="V288" s="26"/>
      <c r="W288" s="26" t="str">
        <f t="shared" si="44"/>
        <v/>
      </c>
      <c r="X288" s="26" t="str">
        <f t="shared" si="45"/>
        <v/>
      </c>
      <c r="Y288" s="26" t="str">
        <f t="shared" si="46"/>
        <v/>
      </c>
      <c r="Z288" s="26" t="str">
        <f t="shared" si="47"/>
        <v/>
      </c>
      <c r="AA288" s="26" t="str">
        <f t="shared" si="48"/>
        <v/>
      </c>
      <c r="AB288" s="5" t="str">
        <f t="shared" si="49"/>
        <v/>
      </c>
    </row>
    <row r="289" spans="1:28" ht="49.5" customHeight="1">
      <c r="A289" s="22">
        <v>284</v>
      </c>
      <c r="B289" s="30"/>
      <c r="C289" s="30"/>
      <c r="D289" s="29"/>
      <c r="E289" s="29"/>
      <c r="F289" s="29"/>
      <c r="G289" s="29"/>
      <c r="H289" s="29"/>
      <c r="I289" s="25" t="str">
        <f t="shared" si="40"/>
        <v/>
      </c>
      <c r="J289" s="29"/>
      <c r="K289" s="25" t="str">
        <f t="shared" si="41"/>
        <v/>
      </c>
      <c r="L289" s="26" t="str">
        <f t="shared" si="42"/>
        <v/>
      </c>
      <c r="M289" s="29"/>
      <c r="N289" s="29"/>
      <c r="O289" s="29"/>
      <c r="P289" s="29"/>
      <c r="Q289" s="29"/>
      <c r="R289" s="29"/>
      <c r="S289" s="29"/>
      <c r="T289" s="29"/>
      <c r="U289" s="26" t="str">
        <f t="shared" si="43"/>
        <v/>
      </c>
      <c r="V289" s="26"/>
      <c r="W289" s="26" t="str">
        <f t="shared" si="44"/>
        <v/>
      </c>
      <c r="X289" s="26" t="str">
        <f t="shared" si="45"/>
        <v/>
      </c>
      <c r="Y289" s="26" t="str">
        <f t="shared" si="46"/>
        <v/>
      </c>
      <c r="Z289" s="26" t="str">
        <f t="shared" si="47"/>
        <v/>
      </c>
      <c r="AA289" s="26" t="str">
        <f t="shared" si="48"/>
        <v/>
      </c>
      <c r="AB289" s="5" t="str">
        <f t="shared" si="49"/>
        <v/>
      </c>
    </row>
    <row r="290" spans="1:28" ht="49.5" customHeight="1">
      <c r="A290" s="22">
        <v>285</v>
      </c>
      <c r="B290" s="30"/>
      <c r="C290" s="30"/>
      <c r="D290" s="29"/>
      <c r="E290" s="29"/>
      <c r="F290" s="29"/>
      <c r="G290" s="29"/>
      <c r="H290" s="29"/>
      <c r="I290" s="25" t="str">
        <f t="shared" si="40"/>
        <v/>
      </c>
      <c r="J290" s="29"/>
      <c r="K290" s="25" t="str">
        <f t="shared" si="41"/>
        <v/>
      </c>
      <c r="L290" s="26" t="str">
        <f t="shared" si="42"/>
        <v/>
      </c>
      <c r="M290" s="29"/>
      <c r="N290" s="29"/>
      <c r="O290" s="29"/>
      <c r="P290" s="29"/>
      <c r="Q290" s="29"/>
      <c r="R290" s="29"/>
      <c r="S290" s="29"/>
      <c r="T290" s="29"/>
      <c r="U290" s="26" t="str">
        <f t="shared" si="43"/>
        <v/>
      </c>
      <c r="V290" s="26"/>
      <c r="W290" s="26" t="str">
        <f t="shared" si="44"/>
        <v/>
      </c>
      <c r="X290" s="26" t="str">
        <f t="shared" si="45"/>
        <v/>
      </c>
      <c r="Y290" s="26" t="str">
        <f t="shared" si="46"/>
        <v/>
      </c>
      <c r="Z290" s="26" t="str">
        <f t="shared" si="47"/>
        <v/>
      </c>
      <c r="AA290" s="26" t="str">
        <f t="shared" si="48"/>
        <v/>
      </c>
      <c r="AB290" s="5" t="str">
        <f t="shared" si="49"/>
        <v/>
      </c>
    </row>
    <row r="291" spans="1:28" ht="49.5" customHeight="1">
      <c r="A291" s="22">
        <v>286</v>
      </c>
      <c r="B291" s="30"/>
      <c r="C291" s="30"/>
      <c r="D291" s="29"/>
      <c r="E291" s="29"/>
      <c r="F291" s="29"/>
      <c r="G291" s="29"/>
      <c r="H291" s="29"/>
      <c r="I291" s="25" t="str">
        <f t="shared" si="40"/>
        <v/>
      </c>
      <c r="J291" s="29"/>
      <c r="K291" s="25" t="str">
        <f t="shared" si="41"/>
        <v/>
      </c>
      <c r="L291" s="26" t="str">
        <f t="shared" si="42"/>
        <v/>
      </c>
      <c r="M291" s="29"/>
      <c r="N291" s="29"/>
      <c r="O291" s="29"/>
      <c r="P291" s="29"/>
      <c r="Q291" s="29"/>
      <c r="R291" s="29"/>
      <c r="S291" s="29"/>
      <c r="T291" s="29"/>
      <c r="U291" s="26" t="str">
        <f t="shared" si="43"/>
        <v/>
      </c>
      <c r="V291" s="26"/>
      <c r="W291" s="26" t="str">
        <f t="shared" si="44"/>
        <v/>
      </c>
      <c r="X291" s="26" t="str">
        <f t="shared" si="45"/>
        <v/>
      </c>
      <c r="Y291" s="26" t="str">
        <f t="shared" si="46"/>
        <v/>
      </c>
      <c r="Z291" s="26" t="str">
        <f t="shared" si="47"/>
        <v/>
      </c>
      <c r="AA291" s="26" t="str">
        <f t="shared" si="48"/>
        <v/>
      </c>
      <c r="AB291" s="5" t="str">
        <f t="shared" si="49"/>
        <v/>
      </c>
    </row>
    <row r="292" spans="1:28" ht="49.5" customHeight="1">
      <c r="A292" s="22">
        <v>287</v>
      </c>
      <c r="B292" s="30"/>
      <c r="C292" s="30"/>
      <c r="D292" s="29"/>
      <c r="E292" s="29"/>
      <c r="F292" s="29"/>
      <c r="G292" s="29"/>
      <c r="H292" s="29"/>
      <c r="I292" s="25" t="str">
        <f t="shared" si="40"/>
        <v/>
      </c>
      <c r="J292" s="29"/>
      <c r="K292" s="25" t="str">
        <f t="shared" si="41"/>
        <v/>
      </c>
      <c r="L292" s="26" t="str">
        <f t="shared" si="42"/>
        <v/>
      </c>
      <c r="M292" s="29"/>
      <c r="N292" s="29"/>
      <c r="O292" s="29"/>
      <c r="P292" s="29"/>
      <c r="Q292" s="29"/>
      <c r="R292" s="29"/>
      <c r="S292" s="29"/>
      <c r="T292" s="29"/>
      <c r="U292" s="26" t="str">
        <f t="shared" si="43"/>
        <v/>
      </c>
      <c r="V292" s="26"/>
      <c r="W292" s="26" t="str">
        <f t="shared" si="44"/>
        <v/>
      </c>
      <c r="X292" s="26" t="str">
        <f t="shared" si="45"/>
        <v/>
      </c>
      <c r="Y292" s="26" t="str">
        <f t="shared" si="46"/>
        <v/>
      </c>
      <c r="Z292" s="26" t="str">
        <f t="shared" si="47"/>
        <v/>
      </c>
      <c r="AA292" s="26" t="str">
        <f t="shared" si="48"/>
        <v/>
      </c>
      <c r="AB292" s="5" t="str">
        <f t="shared" si="49"/>
        <v/>
      </c>
    </row>
    <row r="293" spans="1:28" ht="12" customHeight="1">
      <c r="A293" s="22">
        <v>288</v>
      </c>
      <c r="B293" s="30"/>
      <c r="C293" s="30"/>
      <c r="D293" s="29"/>
      <c r="E293" s="29"/>
      <c r="F293" s="29"/>
      <c r="G293" s="29"/>
      <c r="H293" s="29"/>
      <c r="I293" s="25" t="str">
        <f t="shared" si="40"/>
        <v/>
      </c>
      <c r="J293" s="29"/>
      <c r="K293" s="25" t="str">
        <f t="shared" si="41"/>
        <v/>
      </c>
      <c r="L293" s="26" t="str">
        <f t="shared" si="42"/>
        <v/>
      </c>
      <c r="M293" s="29"/>
      <c r="N293" s="29"/>
      <c r="O293" s="29"/>
      <c r="P293" s="29"/>
      <c r="Q293" s="29"/>
      <c r="R293" s="29"/>
      <c r="S293" s="29"/>
      <c r="T293" s="29"/>
      <c r="U293" s="26" t="str">
        <f t="shared" si="43"/>
        <v/>
      </c>
      <c r="V293" s="26"/>
      <c r="W293" s="26" t="str">
        <f t="shared" si="44"/>
        <v/>
      </c>
      <c r="X293" s="26" t="str">
        <f t="shared" si="45"/>
        <v/>
      </c>
      <c r="Y293" s="26" t="str">
        <f t="shared" si="46"/>
        <v/>
      </c>
      <c r="Z293" s="26" t="str">
        <f t="shared" si="47"/>
        <v/>
      </c>
      <c r="AA293" s="26" t="str">
        <f t="shared" si="48"/>
        <v/>
      </c>
      <c r="AB293" s="5" t="str">
        <f t="shared" si="49"/>
        <v/>
      </c>
    </row>
    <row r="294" spans="1:28" ht="12" customHeight="1">
      <c r="A294" s="22">
        <v>289</v>
      </c>
      <c r="B294" s="30"/>
      <c r="C294" s="30"/>
      <c r="D294" s="29"/>
      <c r="E294" s="29"/>
      <c r="F294" s="29"/>
      <c r="G294" s="29"/>
      <c r="H294" s="29"/>
      <c r="I294" s="25" t="str">
        <f t="shared" si="40"/>
        <v/>
      </c>
      <c r="J294" s="29"/>
      <c r="K294" s="25" t="str">
        <f t="shared" si="41"/>
        <v/>
      </c>
      <c r="L294" s="26" t="str">
        <f t="shared" si="42"/>
        <v/>
      </c>
      <c r="M294" s="29"/>
      <c r="N294" s="29"/>
      <c r="O294" s="29"/>
      <c r="P294" s="29"/>
      <c r="Q294" s="29"/>
      <c r="R294" s="29"/>
      <c r="S294" s="29"/>
      <c r="T294" s="29"/>
      <c r="U294" s="26" t="str">
        <f t="shared" si="43"/>
        <v/>
      </c>
      <c r="V294" s="26"/>
      <c r="W294" s="26" t="str">
        <f t="shared" si="44"/>
        <v/>
      </c>
      <c r="X294" s="26" t="str">
        <f t="shared" si="45"/>
        <v/>
      </c>
      <c r="Y294" s="26" t="str">
        <f t="shared" si="46"/>
        <v/>
      </c>
      <c r="Z294" s="26" t="str">
        <f t="shared" si="47"/>
        <v/>
      </c>
      <c r="AA294" s="26" t="str">
        <f t="shared" si="48"/>
        <v/>
      </c>
      <c r="AB294" s="5" t="str">
        <f t="shared" si="49"/>
        <v/>
      </c>
    </row>
    <row r="295" spans="1:28" ht="12" customHeight="1">
      <c r="A295" s="22">
        <v>290</v>
      </c>
      <c r="B295" s="30"/>
      <c r="C295" s="30"/>
      <c r="D295" s="29"/>
      <c r="E295" s="29"/>
      <c r="F295" s="29"/>
      <c r="G295" s="29"/>
      <c r="H295" s="29"/>
      <c r="I295" s="25" t="str">
        <f t="shared" si="40"/>
        <v/>
      </c>
      <c r="J295" s="29"/>
      <c r="K295" s="25" t="str">
        <f t="shared" si="41"/>
        <v/>
      </c>
      <c r="L295" s="26" t="str">
        <f t="shared" si="42"/>
        <v/>
      </c>
      <c r="M295" s="29"/>
      <c r="N295" s="29"/>
      <c r="O295" s="29"/>
      <c r="P295" s="29"/>
      <c r="Q295" s="29"/>
      <c r="R295" s="29"/>
      <c r="S295" s="29"/>
      <c r="T295" s="29"/>
      <c r="U295" s="26" t="str">
        <f t="shared" si="43"/>
        <v/>
      </c>
      <c r="V295" s="26"/>
      <c r="W295" s="26" t="str">
        <f t="shared" si="44"/>
        <v/>
      </c>
      <c r="X295" s="26" t="str">
        <f t="shared" si="45"/>
        <v/>
      </c>
      <c r="Y295" s="26" t="str">
        <f t="shared" si="46"/>
        <v/>
      </c>
      <c r="Z295" s="26" t="str">
        <f t="shared" si="47"/>
        <v/>
      </c>
      <c r="AA295" s="26" t="str">
        <f t="shared" si="48"/>
        <v/>
      </c>
      <c r="AB295" s="5" t="str">
        <f t="shared" si="49"/>
        <v/>
      </c>
    </row>
    <row r="296" spans="1:28" ht="12" customHeight="1">
      <c r="A296" s="22">
        <v>291</v>
      </c>
      <c r="B296" s="30"/>
      <c r="C296" s="30"/>
      <c r="D296" s="29"/>
      <c r="E296" s="29"/>
      <c r="F296" s="29"/>
      <c r="G296" s="29"/>
      <c r="H296" s="29"/>
      <c r="I296" s="25" t="str">
        <f t="shared" si="40"/>
        <v/>
      </c>
      <c r="J296" s="29"/>
      <c r="K296" s="25" t="str">
        <f t="shared" si="41"/>
        <v/>
      </c>
      <c r="L296" s="26" t="str">
        <f t="shared" si="42"/>
        <v/>
      </c>
      <c r="M296" s="29"/>
      <c r="N296" s="29"/>
      <c r="O296" s="29"/>
      <c r="P296" s="29"/>
      <c r="Q296" s="29"/>
      <c r="R296" s="29"/>
      <c r="S296" s="29"/>
      <c r="T296" s="29"/>
      <c r="U296" s="26" t="str">
        <f t="shared" si="43"/>
        <v/>
      </c>
      <c r="V296" s="26"/>
      <c r="W296" s="26" t="str">
        <f t="shared" si="44"/>
        <v/>
      </c>
      <c r="X296" s="26" t="str">
        <f t="shared" si="45"/>
        <v/>
      </c>
      <c r="Y296" s="26" t="str">
        <f t="shared" si="46"/>
        <v/>
      </c>
      <c r="Z296" s="26" t="str">
        <f t="shared" si="47"/>
        <v/>
      </c>
      <c r="AA296" s="26" t="str">
        <f t="shared" si="48"/>
        <v/>
      </c>
      <c r="AB296" s="5" t="str">
        <f t="shared" si="49"/>
        <v/>
      </c>
    </row>
    <row r="297" spans="1:28" ht="12" customHeight="1">
      <c r="A297" s="22">
        <v>292</v>
      </c>
      <c r="B297" s="30"/>
      <c r="C297" s="30"/>
      <c r="D297" s="29"/>
      <c r="E297" s="29"/>
      <c r="F297" s="29"/>
      <c r="G297" s="29"/>
      <c r="H297" s="29"/>
      <c r="I297" s="25" t="str">
        <f t="shared" si="40"/>
        <v/>
      </c>
      <c r="J297" s="29"/>
      <c r="K297" s="25" t="str">
        <f t="shared" si="41"/>
        <v/>
      </c>
      <c r="L297" s="26" t="str">
        <f t="shared" si="42"/>
        <v/>
      </c>
      <c r="M297" s="29"/>
      <c r="N297" s="29"/>
      <c r="O297" s="29"/>
      <c r="P297" s="29"/>
      <c r="Q297" s="29"/>
      <c r="R297" s="29"/>
      <c r="S297" s="29"/>
      <c r="T297" s="29"/>
      <c r="U297" s="26" t="str">
        <f t="shared" si="43"/>
        <v/>
      </c>
      <c r="V297" s="26"/>
      <c r="W297" s="26" t="str">
        <f t="shared" si="44"/>
        <v/>
      </c>
      <c r="X297" s="26" t="str">
        <f t="shared" si="45"/>
        <v/>
      </c>
      <c r="Y297" s="26" t="str">
        <f t="shared" si="46"/>
        <v/>
      </c>
      <c r="Z297" s="26" t="str">
        <f t="shared" si="47"/>
        <v/>
      </c>
      <c r="AA297" s="26" t="str">
        <f t="shared" si="48"/>
        <v/>
      </c>
      <c r="AB297" s="5" t="str">
        <f t="shared" si="49"/>
        <v/>
      </c>
    </row>
    <row r="298" spans="1:28" ht="12" customHeight="1">
      <c r="A298" s="22">
        <v>293</v>
      </c>
      <c r="B298" s="30"/>
      <c r="C298" s="30"/>
      <c r="D298" s="29"/>
      <c r="E298" s="29"/>
      <c r="F298" s="29"/>
      <c r="G298" s="29"/>
      <c r="H298" s="29"/>
      <c r="I298" s="25" t="str">
        <f t="shared" si="40"/>
        <v/>
      </c>
      <c r="J298" s="29"/>
      <c r="K298" s="25" t="str">
        <f t="shared" si="41"/>
        <v/>
      </c>
      <c r="L298" s="26" t="str">
        <f t="shared" si="42"/>
        <v/>
      </c>
      <c r="M298" s="29"/>
      <c r="N298" s="29"/>
      <c r="O298" s="29"/>
      <c r="P298" s="29"/>
      <c r="Q298" s="29"/>
      <c r="R298" s="29"/>
      <c r="S298" s="29"/>
      <c r="T298" s="29"/>
      <c r="U298" s="26" t="str">
        <f t="shared" si="43"/>
        <v/>
      </c>
      <c r="V298" s="26"/>
      <c r="W298" s="26" t="str">
        <f t="shared" si="44"/>
        <v/>
      </c>
      <c r="X298" s="26" t="str">
        <f t="shared" si="45"/>
        <v/>
      </c>
      <c r="Y298" s="26" t="str">
        <f t="shared" si="46"/>
        <v/>
      </c>
      <c r="Z298" s="26" t="str">
        <f t="shared" si="47"/>
        <v/>
      </c>
      <c r="AA298" s="26" t="str">
        <f t="shared" si="48"/>
        <v/>
      </c>
      <c r="AB298" s="5" t="str">
        <f t="shared" si="49"/>
        <v/>
      </c>
    </row>
    <row r="299" spans="1:28" ht="12" customHeight="1">
      <c r="A299" s="22">
        <v>294</v>
      </c>
      <c r="B299" s="30"/>
      <c r="C299" s="30"/>
      <c r="D299" s="29"/>
      <c r="E299" s="29"/>
      <c r="F299" s="29"/>
      <c r="G299" s="29"/>
      <c r="H299" s="29"/>
      <c r="I299" s="25" t="str">
        <f t="shared" si="40"/>
        <v/>
      </c>
      <c r="J299" s="29"/>
      <c r="K299" s="25" t="str">
        <f t="shared" si="41"/>
        <v/>
      </c>
      <c r="L299" s="26" t="str">
        <f t="shared" si="42"/>
        <v/>
      </c>
      <c r="M299" s="29"/>
      <c r="N299" s="29"/>
      <c r="O299" s="29"/>
      <c r="P299" s="29"/>
      <c r="Q299" s="29"/>
      <c r="R299" s="29"/>
      <c r="S299" s="29"/>
      <c r="T299" s="29"/>
      <c r="U299" s="26" t="str">
        <f t="shared" si="43"/>
        <v/>
      </c>
      <c r="V299" s="26"/>
      <c r="W299" s="26" t="str">
        <f t="shared" si="44"/>
        <v/>
      </c>
      <c r="X299" s="26" t="str">
        <f t="shared" si="45"/>
        <v/>
      </c>
      <c r="Y299" s="26" t="str">
        <f t="shared" si="46"/>
        <v/>
      </c>
      <c r="Z299" s="26" t="str">
        <f t="shared" si="47"/>
        <v/>
      </c>
      <c r="AA299" s="26" t="str">
        <f t="shared" si="48"/>
        <v/>
      </c>
      <c r="AB299" s="5" t="str">
        <f t="shared" si="49"/>
        <v/>
      </c>
    </row>
    <row r="300" spans="1:28" ht="12" customHeight="1">
      <c r="A300" s="22">
        <v>295</v>
      </c>
      <c r="B300" s="30"/>
      <c r="C300" s="30"/>
      <c r="D300" s="29"/>
      <c r="E300" s="29"/>
      <c r="F300" s="29"/>
      <c r="G300" s="29"/>
      <c r="H300" s="29"/>
      <c r="I300" s="25" t="str">
        <f t="shared" si="40"/>
        <v/>
      </c>
      <c r="J300" s="29"/>
      <c r="K300" s="25" t="str">
        <f t="shared" si="41"/>
        <v/>
      </c>
      <c r="L300" s="26" t="str">
        <f t="shared" si="42"/>
        <v/>
      </c>
      <c r="M300" s="29"/>
      <c r="N300" s="29"/>
      <c r="O300" s="29"/>
      <c r="P300" s="29"/>
      <c r="Q300" s="29"/>
      <c r="R300" s="29"/>
      <c r="S300" s="29"/>
      <c r="T300" s="29"/>
      <c r="U300" s="26" t="str">
        <f t="shared" si="43"/>
        <v/>
      </c>
      <c r="V300" s="26"/>
      <c r="W300" s="26" t="str">
        <f t="shared" si="44"/>
        <v/>
      </c>
      <c r="X300" s="26" t="str">
        <f t="shared" si="45"/>
        <v/>
      </c>
      <c r="Y300" s="26" t="str">
        <f t="shared" si="46"/>
        <v/>
      </c>
      <c r="Z300" s="26" t="str">
        <f t="shared" si="47"/>
        <v/>
      </c>
      <c r="AA300" s="26" t="str">
        <f t="shared" si="48"/>
        <v/>
      </c>
      <c r="AB300" s="5" t="str">
        <f t="shared" si="49"/>
        <v/>
      </c>
    </row>
    <row r="301" spans="1:28" ht="12" customHeight="1">
      <c r="A301" s="22">
        <v>296</v>
      </c>
      <c r="B301" s="30"/>
      <c r="C301" s="30"/>
      <c r="D301" s="29"/>
      <c r="E301" s="29"/>
      <c r="F301" s="29"/>
      <c r="G301" s="29"/>
      <c r="H301" s="29"/>
      <c r="I301" s="25" t="str">
        <f t="shared" si="40"/>
        <v/>
      </c>
      <c r="J301" s="29"/>
      <c r="K301" s="25" t="str">
        <f t="shared" si="41"/>
        <v/>
      </c>
      <c r="L301" s="26" t="str">
        <f t="shared" si="42"/>
        <v/>
      </c>
      <c r="M301" s="29"/>
      <c r="N301" s="29"/>
      <c r="O301" s="29"/>
      <c r="P301" s="29"/>
      <c r="Q301" s="29"/>
      <c r="R301" s="29"/>
      <c r="S301" s="29"/>
      <c r="T301" s="29"/>
      <c r="U301" s="26" t="str">
        <f t="shared" si="43"/>
        <v/>
      </c>
      <c r="V301" s="26"/>
      <c r="W301" s="26" t="str">
        <f t="shared" si="44"/>
        <v/>
      </c>
      <c r="X301" s="26" t="str">
        <f t="shared" si="45"/>
        <v/>
      </c>
      <c r="Y301" s="26" t="str">
        <f t="shared" si="46"/>
        <v/>
      </c>
      <c r="Z301" s="26" t="str">
        <f t="shared" si="47"/>
        <v/>
      </c>
      <c r="AA301" s="26" t="str">
        <f t="shared" si="48"/>
        <v/>
      </c>
      <c r="AB301" s="5" t="str">
        <f t="shared" si="49"/>
        <v/>
      </c>
    </row>
    <row r="302" spans="1:28" ht="12" customHeight="1">
      <c r="A302" s="22">
        <v>297</v>
      </c>
      <c r="B302" s="30"/>
      <c r="C302" s="30"/>
      <c r="D302" s="29"/>
      <c r="E302" s="29"/>
      <c r="F302" s="29"/>
      <c r="G302" s="29"/>
      <c r="H302" s="29"/>
      <c r="I302" s="25" t="str">
        <f t="shared" si="40"/>
        <v/>
      </c>
      <c r="J302" s="29"/>
      <c r="K302" s="25" t="str">
        <f t="shared" si="41"/>
        <v/>
      </c>
      <c r="L302" s="26" t="str">
        <f t="shared" si="42"/>
        <v/>
      </c>
      <c r="M302" s="29"/>
      <c r="N302" s="29"/>
      <c r="O302" s="29"/>
      <c r="P302" s="29"/>
      <c r="Q302" s="29"/>
      <c r="R302" s="29"/>
      <c r="S302" s="29"/>
      <c r="T302" s="29"/>
      <c r="U302" s="26" t="str">
        <f t="shared" si="43"/>
        <v/>
      </c>
      <c r="V302" s="26"/>
      <c r="W302" s="26" t="str">
        <f t="shared" si="44"/>
        <v/>
      </c>
      <c r="X302" s="26" t="str">
        <f t="shared" si="45"/>
        <v/>
      </c>
      <c r="Y302" s="26" t="str">
        <f t="shared" si="46"/>
        <v/>
      </c>
      <c r="Z302" s="26" t="str">
        <f t="shared" si="47"/>
        <v/>
      </c>
      <c r="AA302" s="26" t="str">
        <f t="shared" si="48"/>
        <v/>
      </c>
      <c r="AB302" s="5" t="str">
        <f t="shared" si="49"/>
        <v/>
      </c>
    </row>
    <row r="303" spans="1:28" ht="12" customHeight="1">
      <c r="A303" s="22">
        <v>298</v>
      </c>
      <c r="B303" s="30"/>
      <c r="C303" s="30"/>
      <c r="D303" s="29"/>
      <c r="E303" s="29"/>
      <c r="F303" s="29"/>
      <c r="G303" s="29"/>
      <c r="H303" s="29"/>
      <c r="I303" s="25" t="str">
        <f t="shared" si="40"/>
        <v/>
      </c>
      <c r="J303" s="29"/>
      <c r="K303" s="25" t="str">
        <f t="shared" si="41"/>
        <v/>
      </c>
      <c r="L303" s="26" t="str">
        <f t="shared" si="42"/>
        <v/>
      </c>
      <c r="M303" s="29"/>
      <c r="N303" s="29"/>
      <c r="O303" s="29"/>
      <c r="P303" s="29"/>
      <c r="Q303" s="29"/>
      <c r="R303" s="29"/>
      <c r="S303" s="29"/>
      <c r="T303" s="29"/>
      <c r="U303" s="26" t="str">
        <f t="shared" si="43"/>
        <v/>
      </c>
      <c r="V303" s="26"/>
      <c r="W303" s="26" t="str">
        <f t="shared" si="44"/>
        <v/>
      </c>
      <c r="X303" s="26" t="str">
        <f t="shared" si="45"/>
        <v/>
      </c>
      <c r="Y303" s="26" t="str">
        <f t="shared" si="46"/>
        <v/>
      </c>
      <c r="Z303" s="26" t="str">
        <f t="shared" si="47"/>
        <v/>
      </c>
      <c r="AA303" s="26" t="str">
        <f t="shared" si="48"/>
        <v/>
      </c>
      <c r="AB303" s="5" t="str">
        <f t="shared" si="49"/>
        <v/>
      </c>
    </row>
    <row r="304" spans="1:28" ht="12" customHeight="1">
      <c r="A304" s="22">
        <v>299</v>
      </c>
      <c r="B304" s="30"/>
      <c r="C304" s="30"/>
      <c r="D304" s="29"/>
      <c r="E304" s="29"/>
      <c r="F304" s="29"/>
      <c r="G304" s="29"/>
      <c r="H304" s="29"/>
      <c r="I304" s="25" t="str">
        <f t="shared" si="40"/>
        <v/>
      </c>
      <c r="J304" s="29"/>
      <c r="K304" s="25" t="str">
        <f t="shared" si="41"/>
        <v/>
      </c>
      <c r="L304" s="26" t="str">
        <f t="shared" si="42"/>
        <v/>
      </c>
      <c r="M304" s="29"/>
      <c r="N304" s="29"/>
      <c r="O304" s="29"/>
      <c r="P304" s="29"/>
      <c r="Q304" s="29"/>
      <c r="R304" s="29"/>
      <c r="S304" s="29"/>
      <c r="T304" s="29"/>
      <c r="U304" s="26" t="str">
        <f t="shared" si="43"/>
        <v/>
      </c>
      <c r="V304" s="26"/>
      <c r="W304" s="26" t="str">
        <f t="shared" si="44"/>
        <v/>
      </c>
      <c r="X304" s="26" t="str">
        <f t="shared" si="45"/>
        <v/>
      </c>
      <c r="Y304" s="26" t="str">
        <f t="shared" si="46"/>
        <v/>
      </c>
      <c r="Z304" s="26" t="str">
        <f t="shared" si="47"/>
        <v/>
      </c>
      <c r="AA304" s="26" t="str">
        <f t="shared" si="48"/>
        <v/>
      </c>
      <c r="AB304" s="5" t="str">
        <f t="shared" si="49"/>
        <v/>
      </c>
    </row>
    <row r="305" spans="1:28" ht="12" customHeight="1">
      <c r="A305" s="22">
        <v>300</v>
      </c>
      <c r="B305" s="30"/>
      <c r="C305" s="30"/>
      <c r="D305" s="29"/>
      <c r="E305" s="29"/>
      <c r="F305" s="29"/>
      <c r="G305" s="29"/>
      <c r="H305" s="29"/>
      <c r="I305" s="25" t="str">
        <f t="shared" si="40"/>
        <v/>
      </c>
      <c r="J305" s="29"/>
      <c r="K305" s="25" t="str">
        <f t="shared" si="41"/>
        <v/>
      </c>
      <c r="L305" s="26" t="str">
        <f t="shared" si="42"/>
        <v/>
      </c>
      <c r="M305" s="29"/>
      <c r="N305" s="29"/>
      <c r="O305" s="29"/>
      <c r="P305" s="29"/>
      <c r="Q305" s="29"/>
      <c r="R305" s="29"/>
      <c r="S305" s="29"/>
      <c r="T305" s="29"/>
      <c r="U305" s="26" t="str">
        <f t="shared" si="43"/>
        <v/>
      </c>
      <c r="V305" s="26"/>
      <c r="W305" s="26" t="str">
        <f t="shared" si="44"/>
        <v/>
      </c>
      <c r="X305" s="26" t="str">
        <f t="shared" si="45"/>
        <v/>
      </c>
      <c r="Y305" s="26" t="str">
        <f t="shared" si="46"/>
        <v/>
      </c>
      <c r="Z305" s="26" t="str">
        <f t="shared" si="47"/>
        <v/>
      </c>
      <c r="AA305" s="26" t="str">
        <f t="shared" si="48"/>
        <v/>
      </c>
      <c r="AB305" s="5" t="str">
        <f t="shared" si="49"/>
        <v/>
      </c>
    </row>
    <row r="306" spans="1:28" ht="12" customHeight="1">
      <c r="A306" s="22">
        <v>301</v>
      </c>
      <c r="B306" s="30"/>
      <c r="C306" s="30"/>
      <c r="D306" s="29"/>
      <c r="E306" s="29"/>
      <c r="F306" s="29"/>
      <c r="G306" s="29"/>
      <c r="H306" s="29"/>
      <c r="I306" s="25" t="str">
        <f t="shared" si="40"/>
        <v/>
      </c>
      <c r="J306" s="29"/>
      <c r="K306" s="25" t="str">
        <f t="shared" si="41"/>
        <v/>
      </c>
      <c r="L306" s="26" t="str">
        <f t="shared" si="42"/>
        <v/>
      </c>
      <c r="M306" s="29"/>
      <c r="N306" s="29"/>
      <c r="O306" s="29"/>
      <c r="P306" s="29"/>
      <c r="Q306" s="29"/>
      <c r="R306" s="29"/>
      <c r="S306" s="29"/>
      <c r="T306" s="29"/>
      <c r="U306" s="26" t="str">
        <f t="shared" si="43"/>
        <v/>
      </c>
      <c r="V306" s="26"/>
      <c r="W306" s="26" t="str">
        <f t="shared" si="44"/>
        <v/>
      </c>
      <c r="X306" s="26" t="str">
        <f t="shared" si="45"/>
        <v/>
      </c>
      <c r="Y306" s="26" t="str">
        <f t="shared" si="46"/>
        <v/>
      </c>
      <c r="Z306" s="26" t="str">
        <f t="shared" si="47"/>
        <v/>
      </c>
      <c r="AA306" s="26" t="str">
        <f t="shared" si="48"/>
        <v/>
      </c>
      <c r="AB306" s="5" t="str">
        <f t="shared" si="49"/>
        <v/>
      </c>
    </row>
    <row r="307" spans="1:28" ht="12" customHeight="1">
      <c r="A307" s="22">
        <v>302</v>
      </c>
      <c r="B307" s="30"/>
      <c r="C307" s="30"/>
      <c r="D307" s="29"/>
      <c r="E307" s="29"/>
      <c r="F307" s="29"/>
      <c r="G307" s="29"/>
      <c r="H307" s="29"/>
      <c r="I307" s="25" t="str">
        <f t="shared" si="40"/>
        <v/>
      </c>
      <c r="J307" s="29"/>
      <c r="K307" s="25" t="str">
        <f t="shared" si="41"/>
        <v/>
      </c>
      <c r="L307" s="26" t="str">
        <f t="shared" si="42"/>
        <v/>
      </c>
      <c r="M307" s="29"/>
      <c r="N307" s="29"/>
      <c r="O307" s="29"/>
      <c r="P307" s="29"/>
      <c r="Q307" s="29"/>
      <c r="R307" s="29"/>
      <c r="S307" s="29"/>
      <c r="T307" s="29"/>
      <c r="U307" s="26" t="str">
        <f t="shared" si="43"/>
        <v/>
      </c>
      <c r="V307" s="26"/>
      <c r="W307" s="26" t="str">
        <f t="shared" si="44"/>
        <v/>
      </c>
      <c r="X307" s="26" t="str">
        <f t="shared" si="45"/>
        <v/>
      </c>
      <c r="Y307" s="26" t="str">
        <f t="shared" si="46"/>
        <v/>
      </c>
      <c r="Z307" s="26" t="str">
        <f t="shared" si="47"/>
        <v/>
      </c>
      <c r="AA307" s="26" t="str">
        <f t="shared" si="48"/>
        <v/>
      </c>
      <c r="AB307" s="5" t="str">
        <f t="shared" si="49"/>
        <v/>
      </c>
    </row>
    <row r="308" spans="1:28" ht="12" customHeight="1">
      <c r="A308" s="22">
        <v>303</v>
      </c>
      <c r="B308" s="30"/>
      <c r="C308" s="30"/>
      <c r="D308" s="29"/>
      <c r="E308" s="29"/>
      <c r="F308" s="29"/>
      <c r="G308" s="29"/>
      <c r="H308" s="29"/>
      <c r="I308" s="25" t="str">
        <f t="shared" si="40"/>
        <v/>
      </c>
      <c r="J308" s="29"/>
      <c r="K308" s="25" t="str">
        <f t="shared" si="41"/>
        <v/>
      </c>
      <c r="L308" s="26" t="str">
        <f t="shared" si="42"/>
        <v/>
      </c>
      <c r="M308" s="29"/>
      <c r="N308" s="29"/>
      <c r="O308" s="29"/>
      <c r="P308" s="29"/>
      <c r="Q308" s="29"/>
      <c r="R308" s="29"/>
      <c r="S308" s="29"/>
      <c r="T308" s="29"/>
      <c r="U308" s="26" t="str">
        <f t="shared" si="43"/>
        <v/>
      </c>
      <c r="V308" s="26"/>
      <c r="W308" s="26" t="str">
        <f t="shared" si="44"/>
        <v/>
      </c>
      <c r="X308" s="26" t="str">
        <f t="shared" si="45"/>
        <v/>
      </c>
      <c r="Y308" s="26" t="str">
        <f t="shared" si="46"/>
        <v/>
      </c>
      <c r="Z308" s="26" t="str">
        <f t="shared" si="47"/>
        <v/>
      </c>
      <c r="AA308" s="26" t="str">
        <f t="shared" si="48"/>
        <v/>
      </c>
      <c r="AB308" s="5" t="str">
        <f t="shared" si="49"/>
        <v/>
      </c>
    </row>
    <row r="309" spans="1:28" ht="12" customHeight="1">
      <c r="A309" s="22">
        <v>304</v>
      </c>
      <c r="B309" s="30"/>
      <c r="C309" s="30"/>
      <c r="D309" s="29"/>
      <c r="E309" s="29"/>
      <c r="F309" s="29"/>
      <c r="G309" s="29"/>
      <c r="H309" s="29"/>
      <c r="I309" s="25" t="str">
        <f t="shared" si="40"/>
        <v/>
      </c>
      <c r="J309" s="29"/>
      <c r="K309" s="25" t="str">
        <f t="shared" si="41"/>
        <v/>
      </c>
      <c r="L309" s="26" t="str">
        <f t="shared" si="42"/>
        <v/>
      </c>
      <c r="M309" s="29"/>
      <c r="N309" s="29"/>
      <c r="O309" s="29"/>
      <c r="P309" s="29"/>
      <c r="Q309" s="29"/>
      <c r="R309" s="29"/>
      <c r="S309" s="29"/>
      <c r="T309" s="29"/>
      <c r="U309" s="26" t="str">
        <f t="shared" si="43"/>
        <v/>
      </c>
      <c r="V309" s="26"/>
      <c r="W309" s="26" t="str">
        <f t="shared" si="44"/>
        <v/>
      </c>
      <c r="X309" s="26" t="str">
        <f t="shared" si="45"/>
        <v/>
      </c>
      <c r="Y309" s="26" t="str">
        <f t="shared" si="46"/>
        <v/>
      </c>
      <c r="Z309" s="26" t="str">
        <f t="shared" si="47"/>
        <v/>
      </c>
      <c r="AA309" s="26" t="str">
        <f t="shared" si="48"/>
        <v/>
      </c>
      <c r="AB309" s="5" t="str">
        <f t="shared" si="49"/>
        <v/>
      </c>
    </row>
    <row r="310" spans="1:28" ht="12" customHeight="1">
      <c r="A310" s="22">
        <v>305</v>
      </c>
      <c r="B310" s="30"/>
      <c r="C310" s="30"/>
      <c r="D310" s="29"/>
      <c r="E310" s="29"/>
      <c r="F310" s="29"/>
      <c r="G310" s="29"/>
      <c r="H310" s="29"/>
      <c r="I310" s="25" t="str">
        <f t="shared" si="40"/>
        <v/>
      </c>
      <c r="J310" s="29"/>
      <c r="K310" s="25" t="str">
        <f t="shared" si="41"/>
        <v/>
      </c>
      <c r="L310" s="26" t="str">
        <f t="shared" si="42"/>
        <v/>
      </c>
      <c r="M310" s="29"/>
      <c r="N310" s="29"/>
      <c r="O310" s="29"/>
      <c r="P310" s="29"/>
      <c r="Q310" s="29"/>
      <c r="R310" s="29"/>
      <c r="S310" s="29"/>
      <c r="T310" s="29"/>
      <c r="U310" s="26" t="str">
        <f t="shared" si="43"/>
        <v/>
      </c>
      <c r="V310" s="26"/>
      <c r="W310" s="26" t="str">
        <f t="shared" si="44"/>
        <v/>
      </c>
      <c r="X310" s="26" t="str">
        <f t="shared" si="45"/>
        <v/>
      </c>
      <c r="Y310" s="26" t="str">
        <f t="shared" si="46"/>
        <v/>
      </c>
      <c r="Z310" s="26" t="str">
        <f t="shared" si="47"/>
        <v/>
      </c>
      <c r="AA310" s="26" t="str">
        <f t="shared" si="48"/>
        <v/>
      </c>
      <c r="AB310" s="5" t="str">
        <f t="shared" si="49"/>
        <v/>
      </c>
    </row>
    <row r="311" spans="1:28" ht="12" customHeight="1">
      <c r="A311" s="22">
        <v>306</v>
      </c>
      <c r="B311" s="30"/>
      <c r="C311" s="30"/>
      <c r="D311" s="29"/>
      <c r="E311" s="29"/>
      <c r="F311" s="29"/>
      <c r="G311" s="29"/>
      <c r="H311" s="29"/>
      <c r="I311" s="25" t="str">
        <f t="shared" si="40"/>
        <v/>
      </c>
      <c r="J311" s="29"/>
      <c r="K311" s="25" t="str">
        <f t="shared" si="41"/>
        <v/>
      </c>
      <c r="L311" s="26" t="str">
        <f t="shared" si="42"/>
        <v/>
      </c>
      <c r="M311" s="29"/>
      <c r="N311" s="29"/>
      <c r="O311" s="29"/>
      <c r="P311" s="29"/>
      <c r="Q311" s="29"/>
      <c r="R311" s="29"/>
      <c r="S311" s="29"/>
      <c r="T311" s="29"/>
      <c r="U311" s="26" t="str">
        <f t="shared" si="43"/>
        <v/>
      </c>
      <c r="V311" s="26"/>
      <c r="W311" s="26" t="str">
        <f t="shared" si="44"/>
        <v/>
      </c>
      <c r="X311" s="26" t="str">
        <f t="shared" si="45"/>
        <v/>
      </c>
      <c r="Y311" s="26" t="str">
        <f t="shared" si="46"/>
        <v/>
      </c>
      <c r="Z311" s="26" t="str">
        <f t="shared" si="47"/>
        <v/>
      </c>
      <c r="AA311" s="26" t="str">
        <f t="shared" si="48"/>
        <v/>
      </c>
      <c r="AB311" s="5" t="str">
        <f t="shared" si="49"/>
        <v/>
      </c>
    </row>
    <row r="312" spans="1:28" ht="12" customHeight="1">
      <c r="A312" s="22">
        <v>307</v>
      </c>
      <c r="B312" s="30"/>
      <c r="C312" s="30"/>
      <c r="D312" s="29"/>
      <c r="E312" s="29"/>
      <c r="F312" s="29"/>
      <c r="G312" s="29"/>
      <c r="H312" s="29"/>
      <c r="I312" s="25" t="str">
        <f t="shared" si="40"/>
        <v/>
      </c>
      <c r="J312" s="29"/>
      <c r="K312" s="25" t="str">
        <f t="shared" si="41"/>
        <v/>
      </c>
      <c r="L312" s="26" t="str">
        <f t="shared" si="42"/>
        <v/>
      </c>
      <c r="M312" s="29"/>
      <c r="N312" s="29"/>
      <c r="O312" s="29"/>
      <c r="P312" s="29"/>
      <c r="Q312" s="29"/>
      <c r="R312" s="29"/>
      <c r="S312" s="29"/>
      <c r="T312" s="29"/>
      <c r="U312" s="26" t="str">
        <f t="shared" si="43"/>
        <v/>
      </c>
      <c r="V312" s="26"/>
      <c r="W312" s="26" t="str">
        <f t="shared" si="44"/>
        <v/>
      </c>
      <c r="X312" s="26" t="str">
        <f t="shared" si="45"/>
        <v/>
      </c>
      <c r="Y312" s="26" t="str">
        <f t="shared" si="46"/>
        <v/>
      </c>
      <c r="Z312" s="26" t="str">
        <f t="shared" si="47"/>
        <v/>
      </c>
      <c r="AA312" s="26" t="str">
        <f t="shared" si="48"/>
        <v/>
      </c>
      <c r="AB312" s="5" t="str">
        <f t="shared" si="49"/>
        <v/>
      </c>
    </row>
    <row r="313" spans="1:28" ht="12" customHeight="1">
      <c r="A313" s="22">
        <v>308</v>
      </c>
      <c r="B313" s="30"/>
      <c r="C313" s="30"/>
      <c r="D313" s="29"/>
      <c r="E313" s="29"/>
      <c r="F313" s="29"/>
      <c r="G313" s="29"/>
      <c r="H313" s="29"/>
      <c r="I313" s="25" t="str">
        <f t="shared" si="40"/>
        <v/>
      </c>
      <c r="J313" s="29"/>
      <c r="K313" s="25" t="str">
        <f t="shared" si="41"/>
        <v/>
      </c>
      <c r="L313" s="26" t="str">
        <f t="shared" si="42"/>
        <v/>
      </c>
      <c r="M313" s="29"/>
      <c r="N313" s="29"/>
      <c r="O313" s="29"/>
      <c r="P313" s="29"/>
      <c r="Q313" s="29"/>
      <c r="R313" s="29"/>
      <c r="S313" s="29"/>
      <c r="T313" s="29"/>
      <c r="U313" s="26" t="str">
        <f t="shared" si="43"/>
        <v/>
      </c>
      <c r="V313" s="26"/>
      <c r="W313" s="26" t="str">
        <f t="shared" si="44"/>
        <v/>
      </c>
      <c r="X313" s="26" t="str">
        <f t="shared" si="45"/>
        <v/>
      </c>
      <c r="Y313" s="26" t="str">
        <f t="shared" si="46"/>
        <v/>
      </c>
      <c r="Z313" s="26" t="str">
        <f t="shared" si="47"/>
        <v/>
      </c>
      <c r="AA313" s="26" t="str">
        <f t="shared" si="48"/>
        <v/>
      </c>
      <c r="AB313" s="5" t="str">
        <f t="shared" si="49"/>
        <v/>
      </c>
    </row>
    <row r="314" spans="1:28" ht="12" customHeight="1">
      <c r="A314" s="22">
        <v>309</v>
      </c>
      <c r="B314" s="30"/>
      <c r="C314" s="30"/>
      <c r="D314" s="29"/>
      <c r="E314" s="29"/>
      <c r="F314" s="29"/>
      <c r="G314" s="29"/>
      <c r="H314" s="29"/>
      <c r="I314" s="25" t="str">
        <f t="shared" si="40"/>
        <v/>
      </c>
      <c r="J314" s="29"/>
      <c r="K314" s="25" t="str">
        <f t="shared" si="41"/>
        <v/>
      </c>
      <c r="L314" s="26" t="str">
        <f t="shared" si="42"/>
        <v/>
      </c>
      <c r="M314" s="29"/>
      <c r="N314" s="29"/>
      <c r="O314" s="29"/>
      <c r="P314" s="29"/>
      <c r="Q314" s="29"/>
      <c r="R314" s="29"/>
      <c r="S314" s="29"/>
      <c r="T314" s="29"/>
      <c r="U314" s="26" t="str">
        <f t="shared" si="43"/>
        <v/>
      </c>
      <c r="V314" s="26"/>
      <c r="W314" s="26" t="str">
        <f t="shared" si="44"/>
        <v/>
      </c>
      <c r="X314" s="26" t="str">
        <f t="shared" si="45"/>
        <v/>
      </c>
      <c r="Y314" s="26" t="str">
        <f t="shared" si="46"/>
        <v/>
      </c>
      <c r="Z314" s="26" t="str">
        <f t="shared" si="47"/>
        <v/>
      </c>
      <c r="AA314" s="26" t="str">
        <f t="shared" si="48"/>
        <v/>
      </c>
      <c r="AB314" s="5" t="str">
        <f t="shared" si="49"/>
        <v/>
      </c>
    </row>
    <row r="315" spans="1:28" ht="12" customHeight="1">
      <c r="A315" s="22">
        <v>310</v>
      </c>
      <c r="B315" s="30"/>
      <c r="C315" s="30"/>
      <c r="D315" s="29"/>
      <c r="E315" s="29"/>
      <c r="F315" s="29"/>
      <c r="G315" s="29"/>
      <c r="H315" s="29"/>
      <c r="I315" s="25" t="str">
        <f t="shared" si="40"/>
        <v/>
      </c>
      <c r="J315" s="29"/>
      <c r="K315" s="25" t="str">
        <f t="shared" si="41"/>
        <v/>
      </c>
      <c r="L315" s="26" t="str">
        <f t="shared" si="42"/>
        <v/>
      </c>
      <c r="M315" s="29"/>
      <c r="N315" s="29"/>
      <c r="O315" s="29"/>
      <c r="P315" s="29"/>
      <c r="Q315" s="29"/>
      <c r="R315" s="29"/>
      <c r="S315" s="29"/>
      <c r="T315" s="29"/>
      <c r="U315" s="26" t="str">
        <f t="shared" si="43"/>
        <v/>
      </c>
      <c r="V315" s="26"/>
      <c r="W315" s="26" t="str">
        <f t="shared" si="44"/>
        <v/>
      </c>
      <c r="X315" s="26" t="str">
        <f t="shared" si="45"/>
        <v/>
      </c>
      <c r="Y315" s="26" t="str">
        <f t="shared" si="46"/>
        <v/>
      </c>
      <c r="Z315" s="26" t="str">
        <f t="shared" si="47"/>
        <v/>
      </c>
      <c r="AA315" s="26" t="str">
        <f t="shared" si="48"/>
        <v/>
      </c>
      <c r="AB315" s="5" t="str">
        <f t="shared" si="49"/>
        <v/>
      </c>
    </row>
    <row r="316" spans="1:28" ht="12" customHeight="1">
      <c r="A316" s="22">
        <v>311</v>
      </c>
      <c r="B316" s="30"/>
      <c r="C316" s="30"/>
      <c r="D316" s="29"/>
      <c r="E316" s="29"/>
      <c r="F316" s="29"/>
      <c r="G316" s="29"/>
      <c r="H316" s="29"/>
      <c r="I316" s="25" t="str">
        <f t="shared" si="40"/>
        <v/>
      </c>
      <c r="J316" s="29"/>
      <c r="K316" s="25" t="str">
        <f t="shared" si="41"/>
        <v/>
      </c>
      <c r="L316" s="26" t="str">
        <f t="shared" si="42"/>
        <v/>
      </c>
      <c r="M316" s="29"/>
      <c r="N316" s="29"/>
      <c r="O316" s="29"/>
      <c r="P316" s="29"/>
      <c r="Q316" s="29"/>
      <c r="R316" s="29"/>
      <c r="S316" s="29"/>
      <c r="T316" s="29"/>
      <c r="U316" s="26" t="str">
        <f t="shared" si="43"/>
        <v/>
      </c>
      <c r="V316" s="26"/>
      <c r="W316" s="26" t="str">
        <f t="shared" si="44"/>
        <v/>
      </c>
      <c r="X316" s="26" t="str">
        <f t="shared" si="45"/>
        <v/>
      </c>
      <c r="Y316" s="26" t="str">
        <f t="shared" si="46"/>
        <v/>
      </c>
      <c r="Z316" s="26" t="str">
        <f t="shared" si="47"/>
        <v/>
      </c>
      <c r="AA316" s="26" t="str">
        <f t="shared" si="48"/>
        <v/>
      </c>
      <c r="AB316" s="5" t="str">
        <f t="shared" si="49"/>
        <v/>
      </c>
    </row>
    <row r="317" spans="1:28" ht="12" customHeight="1">
      <c r="A317" s="22">
        <v>312</v>
      </c>
      <c r="B317" s="30"/>
      <c r="C317" s="30"/>
      <c r="D317" s="29"/>
      <c r="E317" s="29"/>
      <c r="F317" s="29"/>
      <c r="G317" s="29"/>
      <c r="H317" s="29"/>
      <c r="I317" s="25" t="str">
        <f t="shared" si="40"/>
        <v/>
      </c>
      <c r="J317" s="29"/>
      <c r="K317" s="25" t="str">
        <f t="shared" si="41"/>
        <v/>
      </c>
      <c r="L317" s="26" t="str">
        <f t="shared" si="42"/>
        <v/>
      </c>
      <c r="M317" s="29"/>
      <c r="N317" s="29"/>
      <c r="O317" s="29"/>
      <c r="P317" s="29"/>
      <c r="Q317" s="29"/>
      <c r="R317" s="29"/>
      <c r="S317" s="29"/>
      <c r="T317" s="29"/>
      <c r="U317" s="26" t="str">
        <f t="shared" si="43"/>
        <v/>
      </c>
      <c r="V317" s="26"/>
      <c r="W317" s="26" t="str">
        <f t="shared" si="44"/>
        <v/>
      </c>
      <c r="X317" s="26" t="str">
        <f t="shared" si="45"/>
        <v/>
      </c>
      <c r="Y317" s="26" t="str">
        <f t="shared" si="46"/>
        <v/>
      </c>
      <c r="Z317" s="26" t="str">
        <f t="shared" si="47"/>
        <v/>
      </c>
      <c r="AA317" s="26" t="str">
        <f t="shared" si="48"/>
        <v/>
      </c>
      <c r="AB317" s="5" t="str">
        <f t="shared" si="49"/>
        <v/>
      </c>
    </row>
    <row r="318" spans="1:28" ht="12" customHeight="1">
      <c r="A318" s="22">
        <v>313</v>
      </c>
      <c r="B318" s="30"/>
      <c r="C318" s="30"/>
      <c r="D318" s="29"/>
      <c r="E318" s="29"/>
      <c r="F318" s="29"/>
      <c r="G318" s="29"/>
      <c r="H318" s="29"/>
      <c r="I318" s="25" t="str">
        <f t="shared" si="40"/>
        <v/>
      </c>
      <c r="J318" s="29"/>
      <c r="K318" s="25" t="str">
        <f t="shared" si="41"/>
        <v/>
      </c>
      <c r="L318" s="26" t="str">
        <f t="shared" si="42"/>
        <v/>
      </c>
      <c r="M318" s="29"/>
      <c r="N318" s="29"/>
      <c r="O318" s="29"/>
      <c r="P318" s="29"/>
      <c r="Q318" s="29"/>
      <c r="R318" s="29"/>
      <c r="S318" s="29"/>
      <c r="T318" s="29"/>
      <c r="U318" s="26" t="str">
        <f t="shared" si="43"/>
        <v/>
      </c>
      <c r="V318" s="26"/>
      <c r="W318" s="26" t="str">
        <f t="shared" si="44"/>
        <v/>
      </c>
      <c r="X318" s="26" t="str">
        <f t="shared" si="45"/>
        <v/>
      </c>
      <c r="Y318" s="26" t="str">
        <f t="shared" si="46"/>
        <v/>
      </c>
      <c r="Z318" s="26" t="str">
        <f t="shared" si="47"/>
        <v/>
      </c>
      <c r="AA318" s="26" t="str">
        <f t="shared" si="48"/>
        <v/>
      </c>
      <c r="AB318" s="5" t="str">
        <f t="shared" si="49"/>
        <v/>
      </c>
    </row>
    <row r="319" spans="1:28" ht="12" customHeight="1">
      <c r="A319" s="22">
        <v>314</v>
      </c>
      <c r="B319" s="30"/>
      <c r="C319" s="30"/>
      <c r="D319" s="29"/>
      <c r="E319" s="29"/>
      <c r="F319" s="29"/>
      <c r="G319" s="29"/>
      <c r="H319" s="29"/>
      <c r="I319" s="25" t="str">
        <f t="shared" si="40"/>
        <v/>
      </c>
      <c r="J319" s="29"/>
      <c r="K319" s="25" t="str">
        <f t="shared" si="41"/>
        <v/>
      </c>
      <c r="L319" s="26" t="str">
        <f t="shared" si="42"/>
        <v/>
      </c>
      <c r="M319" s="29"/>
      <c r="N319" s="29"/>
      <c r="O319" s="29"/>
      <c r="P319" s="29"/>
      <c r="Q319" s="29"/>
      <c r="R319" s="29"/>
      <c r="S319" s="29"/>
      <c r="T319" s="29"/>
      <c r="U319" s="26" t="str">
        <f t="shared" si="43"/>
        <v/>
      </c>
      <c r="V319" s="26"/>
      <c r="W319" s="26" t="str">
        <f t="shared" si="44"/>
        <v/>
      </c>
      <c r="X319" s="26" t="str">
        <f t="shared" si="45"/>
        <v/>
      </c>
      <c r="Y319" s="26" t="str">
        <f t="shared" si="46"/>
        <v/>
      </c>
      <c r="Z319" s="26" t="str">
        <f t="shared" si="47"/>
        <v/>
      </c>
      <c r="AA319" s="26" t="str">
        <f t="shared" si="48"/>
        <v/>
      </c>
      <c r="AB319" s="5" t="str">
        <f t="shared" si="49"/>
        <v/>
      </c>
    </row>
    <row r="320" spans="1:28" ht="12" customHeight="1">
      <c r="A320" s="22">
        <v>315</v>
      </c>
      <c r="B320" s="30"/>
      <c r="C320" s="30"/>
      <c r="D320" s="29"/>
      <c r="E320" s="29"/>
      <c r="F320" s="29"/>
      <c r="G320" s="29"/>
      <c r="H320" s="29"/>
      <c r="I320" s="25" t="str">
        <f t="shared" si="40"/>
        <v/>
      </c>
      <c r="J320" s="29"/>
      <c r="K320" s="25" t="str">
        <f t="shared" si="41"/>
        <v/>
      </c>
      <c r="L320" s="26" t="str">
        <f t="shared" si="42"/>
        <v/>
      </c>
      <c r="M320" s="29"/>
      <c r="N320" s="29"/>
      <c r="O320" s="29"/>
      <c r="P320" s="29"/>
      <c r="Q320" s="29"/>
      <c r="R320" s="29"/>
      <c r="S320" s="29"/>
      <c r="T320" s="29"/>
      <c r="U320" s="26" t="str">
        <f t="shared" si="43"/>
        <v/>
      </c>
      <c r="V320" s="26"/>
      <c r="W320" s="26" t="str">
        <f t="shared" si="44"/>
        <v/>
      </c>
      <c r="X320" s="26" t="str">
        <f t="shared" si="45"/>
        <v/>
      </c>
      <c r="Y320" s="26" t="str">
        <f t="shared" si="46"/>
        <v/>
      </c>
      <c r="Z320" s="26" t="str">
        <f t="shared" si="47"/>
        <v/>
      </c>
      <c r="AA320" s="26" t="str">
        <f t="shared" si="48"/>
        <v/>
      </c>
      <c r="AB320" s="5" t="str">
        <f t="shared" si="49"/>
        <v/>
      </c>
    </row>
    <row r="321" spans="1:28" ht="12" customHeight="1">
      <c r="A321" s="22">
        <v>316</v>
      </c>
      <c r="B321" s="30"/>
      <c r="C321" s="30"/>
      <c r="D321" s="29"/>
      <c r="E321" s="29"/>
      <c r="F321" s="29"/>
      <c r="G321" s="29"/>
      <c r="H321" s="29"/>
      <c r="I321" s="25" t="str">
        <f t="shared" si="40"/>
        <v/>
      </c>
      <c r="J321" s="29"/>
      <c r="K321" s="25" t="str">
        <f t="shared" si="41"/>
        <v/>
      </c>
      <c r="L321" s="26" t="str">
        <f t="shared" si="42"/>
        <v/>
      </c>
      <c r="M321" s="29"/>
      <c r="N321" s="29"/>
      <c r="O321" s="29"/>
      <c r="P321" s="29"/>
      <c r="Q321" s="29"/>
      <c r="R321" s="29"/>
      <c r="S321" s="29"/>
      <c r="T321" s="29"/>
      <c r="U321" s="26" t="str">
        <f t="shared" si="43"/>
        <v/>
      </c>
      <c r="V321" s="26"/>
      <c r="W321" s="26" t="str">
        <f t="shared" si="44"/>
        <v/>
      </c>
      <c r="X321" s="26" t="str">
        <f t="shared" si="45"/>
        <v/>
      </c>
      <c r="Y321" s="26" t="str">
        <f t="shared" si="46"/>
        <v/>
      </c>
      <c r="Z321" s="26" t="str">
        <f t="shared" si="47"/>
        <v/>
      </c>
      <c r="AA321" s="26" t="str">
        <f t="shared" si="48"/>
        <v/>
      </c>
      <c r="AB321" s="5" t="str">
        <f t="shared" si="49"/>
        <v/>
      </c>
    </row>
    <row r="322" spans="1:28" ht="12" customHeight="1">
      <c r="A322" s="22">
        <v>317</v>
      </c>
      <c r="B322" s="30"/>
      <c r="C322" s="30"/>
      <c r="D322" s="29"/>
      <c r="E322" s="29"/>
      <c r="F322" s="29"/>
      <c r="G322" s="29"/>
      <c r="H322" s="29"/>
      <c r="I322" s="25" t="str">
        <f t="shared" si="40"/>
        <v/>
      </c>
      <c r="J322" s="29"/>
      <c r="K322" s="25" t="str">
        <f t="shared" si="41"/>
        <v/>
      </c>
      <c r="L322" s="26" t="str">
        <f t="shared" si="42"/>
        <v/>
      </c>
      <c r="M322" s="29"/>
      <c r="N322" s="29"/>
      <c r="O322" s="29"/>
      <c r="P322" s="29"/>
      <c r="Q322" s="29"/>
      <c r="R322" s="29"/>
      <c r="S322" s="29"/>
      <c r="T322" s="29"/>
      <c r="U322" s="26" t="str">
        <f t="shared" si="43"/>
        <v/>
      </c>
      <c r="V322" s="26"/>
      <c r="W322" s="26" t="str">
        <f t="shared" si="44"/>
        <v/>
      </c>
      <c r="X322" s="26" t="str">
        <f t="shared" si="45"/>
        <v/>
      </c>
      <c r="Y322" s="26" t="str">
        <f t="shared" si="46"/>
        <v/>
      </c>
      <c r="Z322" s="26" t="str">
        <f t="shared" si="47"/>
        <v/>
      </c>
      <c r="AA322" s="26" t="str">
        <f t="shared" si="48"/>
        <v/>
      </c>
      <c r="AB322" s="5" t="str">
        <f t="shared" si="49"/>
        <v/>
      </c>
    </row>
    <row r="323" spans="1:28" ht="12" customHeight="1">
      <c r="A323" s="22">
        <v>318</v>
      </c>
      <c r="B323" s="30"/>
      <c r="C323" s="30"/>
      <c r="D323" s="29"/>
      <c r="E323" s="29"/>
      <c r="F323" s="29"/>
      <c r="G323" s="29"/>
      <c r="H323" s="29"/>
      <c r="I323" s="25" t="str">
        <f t="shared" si="40"/>
        <v/>
      </c>
      <c r="J323" s="29"/>
      <c r="K323" s="25" t="str">
        <f t="shared" si="41"/>
        <v/>
      </c>
      <c r="L323" s="26" t="str">
        <f t="shared" si="42"/>
        <v/>
      </c>
      <c r="M323" s="29"/>
      <c r="N323" s="29"/>
      <c r="O323" s="29"/>
      <c r="P323" s="29"/>
      <c r="Q323" s="29"/>
      <c r="R323" s="29"/>
      <c r="S323" s="29"/>
      <c r="T323" s="29"/>
      <c r="U323" s="26" t="str">
        <f t="shared" si="43"/>
        <v/>
      </c>
      <c r="V323" s="26"/>
      <c r="W323" s="26" t="str">
        <f t="shared" si="44"/>
        <v/>
      </c>
      <c r="X323" s="26" t="str">
        <f t="shared" si="45"/>
        <v/>
      </c>
      <c r="Y323" s="26" t="str">
        <f t="shared" si="46"/>
        <v/>
      </c>
      <c r="Z323" s="26" t="str">
        <f t="shared" si="47"/>
        <v/>
      </c>
      <c r="AA323" s="26" t="str">
        <f t="shared" si="48"/>
        <v/>
      </c>
      <c r="AB323" s="5" t="str">
        <f t="shared" si="49"/>
        <v/>
      </c>
    </row>
    <row r="324" spans="1:28" ht="12" customHeight="1">
      <c r="A324" s="22">
        <v>319</v>
      </c>
      <c r="B324" s="30"/>
      <c r="C324" s="30"/>
      <c r="D324" s="29"/>
      <c r="E324" s="29"/>
      <c r="F324" s="29"/>
      <c r="G324" s="29"/>
      <c r="H324" s="29"/>
      <c r="I324" s="25" t="str">
        <f t="shared" si="40"/>
        <v/>
      </c>
      <c r="J324" s="29"/>
      <c r="K324" s="25" t="str">
        <f t="shared" si="41"/>
        <v/>
      </c>
      <c r="L324" s="26" t="str">
        <f t="shared" si="42"/>
        <v/>
      </c>
      <c r="M324" s="29"/>
      <c r="N324" s="29"/>
      <c r="O324" s="29"/>
      <c r="P324" s="29"/>
      <c r="Q324" s="29"/>
      <c r="R324" s="29"/>
      <c r="S324" s="29"/>
      <c r="T324" s="29"/>
      <c r="U324" s="26" t="str">
        <f t="shared" si="43"/>
        <v/>
      </c>
      <c r="V324" s="26"/>
      <c r="W324" s="26" t="str">
        <f t="shared" si="44"/>
        <v/>
      </c>
      <c r="X324" s="26" t="str">
        <f t="shared" si="45"/>
        <v/>
      </c>
      <c r="Y324" s="26" t="str">
        <f t="shared" si="46"/>
        <v/>
      </c>
      <c r="Z324" s="26" t="str">
        <f t="shared" si="47"/>
        <v/>
      </c>
      <c r="AA324" s="26" t="str">
        <f t="shared" si="48"/>
        <v/>
      </c>
      <c r="AB324" s="5" t="str">
        <f t="shared" si="49"/>
        <v/>
      </c>
    </row>
    <row r="325" spans="1:28" ht="12" customHeight="1">
      <c r="A325" s="22">
        <v>320</v>
      </c>
      <c r="B325" s="30"/>
      <c r="C325" s="30"/>
      <c r="D325" s="29"/>
      <c r="E325" s="29"/>
      <c r="F325" s="29"/>
      <c r="G325" s="29"/>
      <c r="H325" s="29"/>
      <c r="I325" s="25" t="str">
        <f t="shared" si="40"/>
        <v/>
      </c>
      <c r="J325" s="29"/>
      <c r="K325" s="25" t="str">
        <f t="shared" si="41"/>
        <v/>
      </c>
      <c r="L325" s="26" t="str">
        <f t="shared" si="42"/>
        <v/>
      </c>
      <c r="M325" s="29"/>
      <c r="N325" s="29"/>
      <c r="O325" s="29"/>
      <c r="P325" s="29"/>
      <c r="Q325" s="29"/>
      <c r="R325" s="29"/>
      <c r="S325" s="29"/>
      <c r="T325" s="29"/>
      <c r="U325" s="26" t="str">
        <f t="shared" si="43"/>
        <v/>
      </c>
      <c r="V325" s="26"/>
      <c r="W325" s="26" t="str">
        <f t="shared" si="44"/>
        <v/>
      </c>
      <c r="X325" s="26" t="str">
        <f t="shared" si="45"/>
        <v/>
      </c>
      <c r="Y325" s="26" t="str">
        <f t="shared" si="46"/>
        <v/>
      </c>
      <c r="Z325" s="26" t="str">
        <f t="shared" si="47"/>
        <v/>
      </c>
      <c r="AA325" s="26" t="str">
        <f t="shared" si="48"/>
        <v/>
      </c>
      <c r="AB325" s="5" t="str">
        <f t="shared" si="49"/>
        <v/>
      </c>
    </row>
    <row r="326" spans="1:28" ht="12" customHeight="1">
      <c r="A326" s="22">
        <v>321</v>
      </c>
      <c r="B326" s="30"/>
      <c r="C326" s="30"/>
      <c r="D326" s="29"/>
      <c r="E326" s="29"/>
      <c r="F326" s="29"/>
      <c r="G326" s="29"/>
      <c r="H326" s="29"/>
      <c r="I326" s="25" t="str">
        <f t="shared" ref="I326:I389" si="50">IFERROR(IF(H326="Unlikely",1,IF(H326="Possible",2,IF(H326="Likely",3,IF(H326="Almost Certain",4,IF(H326="Certain",5,""))))),"")</f>
        <v/>
      </c>
      <c r="J326" s="29"/>
      <c r="K326" s="25" t="str">
        <f t="shared" ref="K326:K389" si="51">IFERROR(IF(J326="Negligible",1,IF(J326="Minor",2,IF(J326="Moderate",3,IF(J326="Major",4,IF(J326="Critical",5,""))))),"")</f>
        <v/>
      </c>
      <c r="L326" s="26" t="str">
        <f t="shared" ref="L326:L389" si="52">IF(OR(I326="",K326=""),"",I326*K326)</f>
        <v/>
      </c>
      <c r="M326" s="29"/>
      <c r="N326" s="29"/>
      <c r="O326" s="29"/>
      <c r="P326" s="29"/>
      <c r="Q326" s="29"/>
      <c r="R326" s="29"/>
      <c r="S326" s="29"/>
      <c r="T326" s="29"/>
      <c r="U326" s="26" t="str">
        <f t="shared" ref="U326:U389" si="53">IF(L326="","",IF(L326&lt;=4,"Low",IF(L326&lt;=9,"Medium",IF(L326&lt;=15,"High","Critical"))))</f>
        <v/>
      </c>
      <c r="V326" s="26"/>
      <c r="W326" s="26" t="str">
        <f t="shared" ref="W326:W389" si="54">IF(I326="","",MAX(1,I326-(IF(V326="Limited",1,IF(V326="Partial",2,IF(V326="Substantial",3,IF(V326="Highly Effective",4,0)))))))</f>
        <v/>
      </c>
      <c r="X326" s="26" t="str">
        <f t="shared" ref="X326:X389" si="55">IF(K326="","",MAX(1,K326-ROUNDDOWN((IF(V326="Limited",1,IF(V326="Partial",2,IF(V326="Substantial",3,IF(V326="Highly Effective",4,0)))))/2,0)))</f>
        <v/>
      </c>
      <c r="Y326" s="26" t="str">
        <f t="shared" ref="Y326:Y389" si="56">IF(OR(W326="",X326=""),"",W326*X326)</f>
        <v/>
      </c>
      <c r="Z326" s="26" t="str">
        <f t="shared" ref="Z326:Z389" si="57">IF(Y326="","",IF(Y326&lt;=4,"Low",IF(Y326&lt;=9,"Medium",IF(Y326&lt;=15,"High","Critical"))))</f>
        <v/>
      </c>
      <c r="AA326" s="26" t="str">
        <f t="shared" ref="AA326:AA389" si="58">IF(OR(L326="",Y326=""),"",IF(Y326&lt;L326,"Reduced by "&amp;(L326-Y326)&amp;" pts",IF(Y326=L326,"No Change","Increased by "&amp;(Y326-L326)&amp;" pts")))</f>
        <v/>
      </c>
      <c r="AB326" s="5" t="str">
        <f t="shared" ref="AB326:AB389" si="59">IF(Y326="","",Y326+(ROW()/10000000))</f>
        <v/>
      </c>
    </row>
    <row r="327" spans="1:28" ht="12" customHeight="1">
      <c r="A327" s="22">
        <v>322</v>
      </c>
      <c r="B327" s="30"/>
      <c r="C327" s="30"/>
      <c r="D327" s="29"/>
      <c r="E327" s="29"/>
      <c r="F327" s="29"/>
      <c r="G327" s="29"/>
      <c r="H327" s="29"/>
      <c r="I327" s="25" t="str">
        <f t="shared" si="50"/>
        <v/>
      </c>
      <c r="J327" s="29"/>
      <c r="K327" s="25" t="str">
        <f t="shared" si="51"/>
        <v/>
      </c>
      <c r="L327" s="26" t="str">
        <f t="shared" si="52"/>
        <v/>
      </c>
      <c r="M327" s="29"/>
      <c r="N327" s="29"/>
      <c r="O327" s="29"/>
      <c r="P327" s="29"/>
      <c r="Q327" s="29"/>
      <c r="R327" s="29"/>
      <c r="S327" s="29"/>
      <c r="T327" s="29"/>
      <c r="U327" s="26" t="str">
        <f t="shared" si="53"/>
        <v/>
      </c>
      <c r="V327" s="26"/>
      <c r="W327" s="26" t="str">
        <f t="shared" si="54"/>
        <v/>
      </c>
      <c r="X327" s="26" t="str">
        <f t="shared" si="55"/>
        <v/>
      </c>
      <c r="Y327" s="26" t="str">
        <f t="shared" si="56"/>
        <v/>
      </c>
      <c r="Z327" s="26" t="str">
        <f t="shared" si="57"/>
        <v/>
      </c>
      <c r="AA327" s="26" t="str">
        <f t="shared" si="58"/>
        <v/>
      </c>
      <c r="AB327" s="5" t="str">
        <f t="shared" si="59"/>
        <v/>
      </c>
    </row>
    <row r="328" spans="1:28" ht="12" customHeight="1">
      <c r="A328" s="22">
        <v>323</v>
      </c>
      <c r="B328" s="30"/>
      <c r="C328" s="30"/>
      <c r="D328" s="29"/>
      <c r="E328" s="29"/>
      <c r="F328" s="29"/>
      <c r="G328" s="29"/>
      <c r="H328" s="29"/>
      <c r="I328" s="25" t="str">
        <f t="shared" si="50"/>
        <v/>
      </c>
      <c r="J328" s="29"/>
      <c r="K328" s="25" t="str">
        <f t="shared" si="51"/>
        <v/>
      </c>
      <c r="L328" s="26" t="str">
        <f t="shared" si="52"/>
        <v/>
      </c>
      <c r="M328" s="29"/>
      <c r="N328" s="29"/>
      <c r="O328" s="29"/>
      <c r="P328" s="29"/>
      <c r="Q328" s="29"/>
      <c r="R328" s="29"/>
      <c r="S328" s="29"/>
      <c r="T328" s="29"/>
      <c r="U328" s="26" t="str">
        <f t="shared" si="53"/>
        <v/>
      </c>
      <c r="V328" s="26"/>
      <c r="W328" s="26" t="str">
        <f t="shared" si="54"/>
        <v/>
      </c>
      <c r="X328" s="26" t="str">
        <f t="shared" si="55"/>
        <v/>
      </c>
      <c r="Y328" s="26" t="str">
        <f t="shared" si="56"/>
        <v/>
      </c>
      <c r="Z328" s="26" t="str">
        <f t="shared" si="57"/>
        <v/>
      </c>
      <c r="AA328" s="26" t="str">
        <f t="shared" si="58"/>
        <v/>
      </c>
      <c r="AB328" s="5" t="str">
        <f t="shared" si="59"/>
        <v/>
      </c>
    </row>
    <row r="329" spans="1:28" ht="12" customHeight="1">
      <c r="A329" s="22">
        <v>324</v>
      </c>
      <c r="B329" s="30"/>
      <c r="C329" s="30"/>
      <c r="D329" s="29"/>
      <c r="E329" s="29"/>
      <c r="F329" s="29"/>
      <c r="G329" s="29"/>
      <c r="H329" s="29"/>
      <c r="I329" s="25" t="str">
        <f t="shared" si="50"/>
        <v/>
      </c>
      <c r="J329" s="29"/>
      <c r="K329" s="25" t="str">
        <f t="shared" si="51"/>
        <v/>
      </c>
      <c r="L329" s="26" t="str">
        <f t="shared" si="52"/>
        <v/>
      </c>
      <c r="M329" s="29"/>
      <c r="N329" s="29"/>
      <c r="O329" s="29"/>
      <c r="P329" s="29"/>
      <c r="Q329" s="29"/>
      <c r="R329" s="29"/>
      <c r="S329" s="29"/>
      <c r="T329" s="29"/>
      <c r="U329" s="26" t="str">
        <f t="shared" si="53"/>
        <v/>
      </c>
      <c r="V329" s="26"/>
      <c r="W329" s="26" t="str">
        <f t="shared" si="54"/>
        <v/>
      </c>
      <c r="X329" s="26" t="str">
        <f t="shared" si="55"/>
        <v/>
      </c>
      <c r="Y329" s="26" t="str">
        <f t="shared" si="56"/>
        <v/>
      </c>
      <c r="Z329" s="26" t="str">
        <f t="shared" si="57"/>
        <v/>
      </c>
      <c r="AA329" s="26" t="str">
        <f t="shared" si="58"/>
        <v/>
      </c>
      <c r="AB329" s="5" t="str">
        <f t="shared" si="59"/>
        <v/>
      </c>
    </row>
    <row r="330" spans="1:28" ht="12" customHeight="1">
      <c r="A330" s="22">
        <v>325</v>
      </c>
      <c r="B330" s="30"/>
      <c r="C330" s="30"/>
      <c r="D330" s="29"/>
      <c r="E330" s="29"/>
      <c r="F330" s="29"/>
      <c r="G330" s="29"/>
      <c r="H330" s="29"/>
      <c r="I330" s="25" t="str">
        <f t="shared" si="50"/>
        <v/>
      </c>
      <c r="J330" s="29"/>
      <c r="K330" s="25" t="str">
        <f t="shared" si="51"/>
        <v/>
      </c>
      <c r="L330" s="26" t="str">
        <f t="shared" si="52"/>
        <v/>
      </c>
      <c r="M330" s="29"/>
      <c r="N330" s="29"/>
      <c r="O330" s="29"/>
      <c r="P330" s="29"/>
      <c r="Q330" s="29"/>
      <c r="R330" s="29"/>
      <c r="S330" s="29"/>
      <c r="T330" s="29"/>
      <c r="U330" s="26" t="str">
        <f t="shared" si="53"/>
        <v/>
      </c>
      <c r="V330" s="26"/>
      <c r="W330" s="26" t="str">
        <f t="shared" si="54"/>
        <v/>
      </c>
      <c r="X330" s="26" t="str">
        <f t="shared" si="55"/>
        <v/>
      </c>
      <c r="Y330" s="26" t="str">
        <f t="shared" si="56"/>
        <v/>
      </c>
      <c r="Z330" s="26" t="str">
        <f t="shared" si="57"/>
        <v/>
      </c>
      <c r="AA330" s="26" t="str">
        <f t="shared" si="58"/>
        <v/>
      </c>
      <c r="AB330" s="5" t="str">
        <f t="shared" si="59"/>
        <v/>
      </c>
    </row>
    <row r="331" spans="1:28" ht="12" customHeight="1">
      <c r="A331" s="22">
        <v>326</v>
      </c>
      <c r="B331" s="30"/>
      <c r="C331" s="30"/>
      <c r="D331" s="29"/>
      <c r="E331" s="29"/>
      <c r="F331" s="29"/>
      <c r="G331" s="29"/>
      <c r="H331" s="29"/>
      <c r="I331" s="25" t="str">
        <f t="shared" si="50"/>
        <v/>
      </c>
      <c r="J331" s="29"/>
      <c r="K331" s="25" t="str">
        <f t="shared" si="51"/>
        <v/>
      </c>
      <c r="L331" s="26" t="str">
        <f t="shared" si="52"/>
        <v/>
      </c>
      <c r="M331" s="29"/>
      <c r="N331" s="29"/>
      <c r="O331" s="29"/>
      <c r="P331" s="29"/>
      <c r="Q331" s="29"/>
      <c r="R331" s="29"/>
      <c r="S331" s="29"/>
      <c r="T331" s="29"/>
      <c r="U331" s="26" t="str">
        <f t="shared" si="53"/>
        <v/>
      </c>
      <c r="V331" s="26"/>
      <c r="W331" s="26" t="str">
        <f t="shared" si="54"/>
        <v/>
      </c>
      <c r="X331" s="26" t="str">
        <f t="shared" si="55"/>
        <v/>
      </c>
      <c r="Y331" s="26" t="str">
        <f t="shared" si="56"/>
        <v/>
      </c>
      <c r="Z331" s="26" t="str">
        <f t="shared" si="57"/>
        <v/>
      </c>
      <c r="AA331" s="26" t="str">
        <f t="shared" si="58"/>
        <v/>
      </c>
      <c r="AB331" s="5" t="str">
        <f t="shared" si="59"/>
        <v/>
      </c>
    </row>
    <row r="332" spans="1:28" ht="12" customHeight="1">
      <c r="A332" s="22">
        <v>327</v>
      </c>
      <c r="B332" s="30"/>
      <c r="C332" s="30"/>
      <c r="D332" s="29"/>
      <c r="E332" s="29"/>
      <c r="F332" s="29"/>
      <c r="G332" s="29"/>
      <c r="H332" s="29"/>
      <c r="I332" s="25" t="str">
        <f t="shared" si="50"/>
        <v/>
      </c>
      <c r="J332" s="29"/>
      <c r="K332" s="25" t="str">
        <f t="shared" si="51"/>
        <v/>
      </c>
      <c r="L332" s="26" t="str">
        <f t="shared" si="52"/>
        <v/>
      </c>
      <c r="M332" s="29"/>
      <c r="N332" s="29"/>
      <c r="O332" s="29"/>
      <c r="P332" s="29"/>
      <c r="Q332" s="29"/>
      <c r="R332" s="29"/>
      <c r="S332" s="29"/>
      <c r="T332" s="29"/>
      <c r="U332" s="26" t="str">
        <f t="shared" si="53"/>
        <v/>
      </c>
      <c r="V332" s="26"/>
      <c r="W332" s="26" t="str">
        <f t="shared" si="54"/>
        <v/>
      </c>
      <c r="X332" s="26" t="str">
        <f t="shared" si="55"/>
        <v/>
      </c>
      <c r="Y332" s="26" t="str">
        <f t="shared" si="56"/>
        <v/>
      </c>
      <c r="Z332" s="26" t="str">
        <f t="shared" si="57"/>
        <v/>
      </c>
      <c r="AA332" s="26" t="str">
        <f t="shared" si="58"/>
        <v/>
      </c>
      <c r="AB332" s="5" t="str">
        <f t="shared" si="59"/>
        <v/>
      </c>
    </row>
    <row r="333" spans="1:28" ht="12" customHeight="1">
      <c r="A333" s="22">
        <v>328</v>
      </c>
      <c r="B333" s="30"/>
      <c r="C333" s="30"/>
      <c r="D333" s="29"/>
      <c r="E333" s="29"/>
      <c r="F333" s="29"/>
      <c r="G333" s="29"/>
      <c r="H333" s="29"/>
      <c r="I333" s="25" t="str">
        <f t="shared" si="50"/>
        <v/>
      </c>
      <c r="J333" s="29"/>
      <c r="K333" s="25" t="str">
        <f t="shared" si="51"/>
        <v/>
      </c>
      <c r="L333" s="26" t="str">
        <f t="shared" si="52"/>
        <v/>
      </c>
      <c r="M333" s="29"/>
      <c r="N333" s="29"/>
      <c r="O333" s="29"/>
      <c r="P333" s="29"/>
      <c r="Q333" s="29"/>
      <c r="R333" s="29"/>
      <c r="S333" s="29"/>
      <c r="T333" s="29"/>
      <c r="U333" s="26" t="str">
        <f t="shared" si="53"/>
        <v/>
      </c>
      <c r="V333" s="26"/>
      <c r="W333" s="26" t="str">
        <f t="shared" si="54"/>
        <v/>
      </c>
      <c r="X333" s="26" t="str">
        <f t="shared" si="55"/>
        <v/>
      </c>
      <c r="Y333" s="26" t="str">
        <f t="shared" si="56"/>
        <v/>
      </c>
      <c r="Z333" s="26" t="str">
        <f t="shared" si="57"/>
        <v/>
      </c>
      <c r="AA333" s="26" t="str">
        <f t="shared" si="58"/>
        <v/>
      </c>
      <c r="AB333" s="5" t="str">
        <f t="shared" si="59"/>
        <v/>
      </c>
    </row>
    <row r="334" spans="1:28" ht="12" customHeight="1">
      <c r="A334" s="22">
        <v>329</v>
      </c>
      <c r="B334" s="30"/>
      <c r="C334" s="30"/>
      <c r="D334" s="29"/>
      <c r="E334" s="29"/>
      <c r="F334" s="29"/>
      <c r="G334" s="29"/>
      <c r="H334" s="29"/>
      <c r="I334" s="25" t="str">
        <f t="shared" si="50"/>
        <v/>
      </c>
      <c r="J334" s="29"/>
      <c r="K334" s="25" t="str">
        <f t="shared" si="51"/>
        <v/>
      </c>
      <c r="L334" s="26" t="str">
        <f t="shared" si="52"/>
        <v/>
      </c>
      <c r="M334" s="29"/>
      <c r="N334" s="29"/>
      <c r="O334" s="29"/>
      <c r="P334" s="29"/>
      <c r="Q334" s="29"/>
      <c r="R334" s="29"/>
      <c r="S334" s="29"/>
      <c r="T334" s="29"/>
      <c r="U334" s="26" t="str">
        <f t="shared" si="53"/>
        <v/>
      </c>
      <c r="V334" s="26"/>
      <c r="W334" s="26" t="str">
        <f t="shared" si="54"/>
        <v/>
      </c>
      <c r="X334" s="26" t="str">
        <f t="shared" si="55"/>
        <v/>
      </c>
      <c r="Y334" s="26" t="str">
        <f t="shared" si="56"/>
        <v/>
      </c>
      <c r="Z334" s="26" t="str">
        <f t="shared" si="57"/>
        <v/>
      </c>
      <c r="AA334" s="26" t="str">
        <f t="shared" si="58"/>
        <v/>
      </c>
      <c r="AB334" s="5" t="str">
        <f t="shared" si="59"/>
        <v/>
      </c>
    </row>
    <row r="335" spans="1:28" ht="12" customHeight="1">
      <c r="A335" s="22">
        <v>330</v>
      </c>
      <c r="B335" s="30"/>
      <c r="C335" s="30"/>
      <c r="D335" s="29"/>
      <c r="E335" s="29"/>
      <c r="F335" s="29"/>
      <c r="G335" s="29"/>
      <c r="H335" s="29"/>
      <c r="I335" s="25" t="str">
        <f t="shared" si="50"/>
        <v/>
      </c>
      <c r="J335" s="29"/>
      <c r="K335" s="25" t="str">
        <f t="shared" si="51"/>
        <v/>
      </c>
      <c r="L335" s="26" t="str">
        <f t="shared" si="52"/>
        <v/>
      </c>
      <c r="M335" s="29"/>
      <c r="N335" s="29"/>
      <c r="O335" s="29"/>
      <c r="P335" s="29"/>
      <c r="Q335" s="29"/>
      <c r="R335" s="29"/>
      <c r="S335" s="29"/>
      <c r="T335" s="29"/>
      <c r="U335" s="26" t="str">
        <f t="shared" si="53"/>
        <v/>
      </c>
      <c r="V335" s="26"/>
      <c r="W335" s="26" t="str">
        <f t="shared" si="54"/>
        <v/>
      </c>
      <c r="X335" s="26" t="str">
        <f t="shared" si="55"/>
        <v/>
      </c>
      <c r="Y335" s="26" t="str">
        <f t="shared" si="56"/>
        <v/>
      </c>
      <c r="Z335" s="26" t="str">
        <f t="shared" si="57"/>
        <v/>
      </c>
      <c r="AA335" s="26" t="str">
        <f t="shared" si="58"/>
        <v/>
      </c>
      <c r="AB335" s="5" t="str">
        <f t="shared" si="59"/>
        <v/>
      </c>
    </row>
    <row r="336" spans="1:28" ht="12" customHeight="1">
      <c r="A336" s="22">
        <v>331</v>
      </c>
      <c r="B336" s="30"/>
      <c r="C336" s="30"/>
      <c r="D336" s="29"/>
      <c r="E336" s="29"/>
      <c r="F336" s="29"/>
      <c r="G336" s="29"/>
      <c r="H336" s="29"/>
      <c r="I336" s="25" t="str">
        <f t="shared" si="50"/>
        <v/>
      </c>
      <c r="J336" s="29"/>
      <c r="K336" s="25" t="str">
        <f t="shared" si="51"/>
        <v/>
      </c>
      <c r="L336" s="26" t="str">
        <f t="shared" si="52"/>
        <v/>
      </c>
      <c r="M336" s="29"/>
      <c r="N336" s="29"/>
      <c r="O336" s="29"/>
      <c r="P336" s="29"/>
      <c r="Q336" s="29"/>
      <c r="R336" s="29"/>
      <c r="S336" s="29"/>
      <c r="T336" s="29"/>
      <c r="U336" s="26" t="str">
        <f t="shared" si="53"/>
        <v/>
      </c>
      <c r="V336" s="26"/>
      <c r="W336" s="26" t="str">
        <f t="shared" si="54"/>
        <v/>
      </c>
      <c r="X336" s="26" t="str">
        <f t="shared" si="55"/>
        <v/>
      </c>
      <c r="Y336" s="26" t="str">
        <f t="shared" si="56"/>
        <v/>
      </c>
      <c r="Z336" s="26" t="str">
        <f t="shared" si="57"/>
        <v/>
      </c>
      <c r="AA336" s="26" t="str">
        <f t="shared" si="58"/>
        <v/>
      </c>
      <c r="AB336" s="5" t="str">
        <f t="shared" si="59"/>
        <v/>
      </c>
    </row>
    <row r="337" spans="1:28" ht="12" customHeight="1">
      <c r="A337" s="22">
        <v>332</v>
      </c>
      <c r="B337" s="30"/>
      <c r="C337" s="30"/>
      <c r="D337" s="29"/>
      <c r="E337" s="29"/>
      <c r="F337" s="29"/>
      <c r="G337" s="29"/>
      <c r="H337" s="29"/>
      <c r="I337" s="25" t="str">
        <f t="shared" si="50"/>
        <v/>
      </c>
      <c r="J337" s="29"/>
      <c r="K337" s="25" t="str">
        <f t="shared" si="51"/>
        <v/>
      </c>
      <c r="L337" s="26" t="str">
        <f t="shared" si="52"/>
        <v/>
      </c>
      <c r="M337" s="29"/>
      <c r="N337" s="29"/>
      <c r="O337" s="29"/>
      <c r="P337" s="29"/>
      <c r="Q337" s="29"/>
      <c r="R337" s="29"/>
      <c r="S337" s="29"/>
      <c r="T337" s="29"/>
      <c r="U337" s="26" t="str">
        <f t="shared" si="53"/>
        <v/>
      </c>
      <c r="V337" s="26"/>
      <c r="W337" s="26" t="str">
        <f t="shared" si="54"/>
        <v/>
      </c>
      <c r="X337" s="26" t="str">
        <f t="shared" si="55"/>
        <v/>
      </c>
      <c r="Y337" s="26" t="str">
        <f t="shared" si="56"/>
        <v/>
      </c>
      <c r="Z337" s="26" t="str">
        <f t="shared" si="57"/>
        <v/>
      </c>
      <c r="AA337" s="26" t="str">
        <f t="shared" si="58"/>
        <v/>
      </c>
      <c r="AB337" s="5" t="str">
        <f t="shared" si="59"/>
        <v/>
      </c>
    </row>
    <row r="338" spans="1:28" ht="12" customHeight="1">
      <c r="A338" s="22">
        <v>333</v>
      </c>
      <c r="B338" s="30"/>
      <c r="C338" s="30"/>
      <c r="D338" s="29"/>
      <c r="E338" s="29"/>
      <c r="F338" s="29"/>
      <c r="G338" s="29"/>
      <c r="H338" s="29"/>
      <c r="I338" s="25" t="str">
        <f t="shared" si="50"/>
        <v/>
      </c>
      <c r="J338" s="29"/>
      <c r="K338" s="25" t="str">
        <f t="shared" si="51"/>
        <v/>
      </c>
      <c r="L338" s="26" t="str">
        <f t="shared" si="52"/>
        <v/>
      </c>
      <c r="M338" s="29"/>
      <c r="N338" s="29"/>
      <c r="O338" s="29"/>
      <c r="P338" s="29"/>
      <c r="Q338" s="29"/>
      <c r="R338" s="29"/>
      <c r="S338" s="29"/>
      <c r="T338" s="29"/>
      <c r="U338" s="26" t="str">
        <f t="shared" si="53"/>
        <v/>
      </c>
      <c r="V338" s="26"/>
      <c r="W338" s="26" t="str">
        <f t="shared" si="54"/>
        <v/>
      </c>
      <c r="X338" s="26" t="str">
        <f t="shared" si="55"/>
        <v/>
      </c>
      <c r="Y338" s="26" t="str">
        <f t="shared" si="56"/>
        <v/>
      </c>
      <c r="Z338" s="26" t="str">
        <f t="shared" si="57"/>
        <v/>
      </c>
      <c r="AA338" s="26" t="str">
        <f t="shared" si="58"/>
        <v/>
      </c>
      <c r="AB338" s="5" t="str">
        <f t="shared" si="59"/>
        <v/>
      </c>
    </row>
    <row r="339" spans="1:28" ht="12" customHeight="1">
      <c r="A339" s="22">
        <v>334</v>
      </c>
      <c r="B339" s="30"/>
      <c r="C339" s="30"/>
      <c r="D339" s="29"/>
      <c r="E339" s="29"/>
      <c r="F339" s="29"/>
      <c r="G339" s="29"/>
      <c r="H339" s="29"/>
      <c r="I339" s="25" t="str">
        <f t="shared" si="50"/>
        <v/>
      </c>
      <c r="J339" s="29"/>
      <c r="K339" s="25" t="str">
        <f t="shared" si="51"/>
        <v/>
      </c>
      <c r="L339" s="26" t="str">
        <f t="shared" si="52"/>
        <v/>
      </c>
      <c r="M339" s="29"/>
      <c r="N339" s="29"/>
      <c r="O339" s="29"/>
      <c r="P339" s="29"/>
      <c r="Q339" s="29"/>
      <c r="R339" s="29"/>
      <c r="S339" s="29"/>
      <c r="T339" s="29"/>
      <c r="U339" s="26" t="str">
        <f t="shared" si="53"/>
        <v/>
      </c>
      <c r="V339" s="26"/>
      <c r="W339" s="26" t="str">
        <f t="shared" si="54"/>
        <v/>
      </c>
      <c r="X339" s="26" t="str">
        <f t="shared" si="55"/>
        <v/>
      </c>
      <c r="Y339" s="26" t="str">
        <f t="shared" si="56"/>
        <v/>
      </c>
      <c r="Z339" s="26" t="str">
        <f t="shared" si="57"/>
        <v/>
      </c>
      <c r="AA339" s="26" t="str">
        <f t="shared" si="58"/>
        <v/>
      </c>
      <c r="AB339" s="5" t="str">
        <f t="shared" si="59"/>
        <v/>
      </c>
    </row>
    <row r="340" spans="1:28" ht="12" customHeight="1">
      <c r="A340" s="22">
        <v>335</v>
      </c>
      <c r="B340" s="30"/>
      <c r="C340" s="30"/>
      <c r="D340" s="29"/>
      <c r="E340" s="29"/>
      <c r="F340" s="29"/>
      <c r="G340" s="29"/>
      <c r="H340" s="29"/>
      <c r="I340" s="25" t="str">
        <f t="shared" si="50"/>
        <v/>
      </c>
      <c r="J340" s="29"/>
      <c r="K340" s="25" t="str">
        <f t="shared" si="51"/>
        <v/>
      </c>
      <c r="L340" s="26" t="str">
        <f t="shared" si="52"/>
        <v/>
      </c>
      <c r="M340" s="29"/>
      <c r="N340" s="29"/>
      <c r="O340" s="29"/>
      <c r="P340" s="29"/>
      <c r="Q340" s="29"/>
      <c r="R340" s="29"/>
      <c r="S340" s="29"/>
      <c r="T340" s="29"/>
      <c r="U340" s="26" t="str">
        <f t="shared" si="53"/>
        <v/>
      </c>
      <c r="V340" s="26"/>
      <c r="W340" s="26" t="str">
        <f t="shared" si="54"/>
        <v/>
      </c>
      <c r="X340" s="26" t="str">
        <f t="shared" si="55"/>
        <v/>
      </c>
      <c r="Y340" s="26" t="str">
        <f t="shared" si="56"/>
        <v/>
      </c>
      <c r="Z340" s="26" t="str">
        <f t="shared" si="57"/>
        <v/>
      </c>
      <c r="AA340" s="26" t="str">
        <f t="shared" si="58"/>
        <v/>
      </c>
      <c r="AB340" s="5" t="str">
        <f t="shared" si="59"/>
        <v/>
      </c>
    </row>
    <row r="341" spans="1:28" ht="12" customHeight="1">
      <c r="A341" s="22">
        <v>336</v>
      </c>
      <c r="B341" s="30"/>
      <c r="C341" s="30"/>
      <c r="D341" s="29"/>
      <c r="E341" s="29"/>
      <c r="F341" s="29"/>
      <c r="G341" s="29"/>
      <c r="H341" s="29"/>
      <c r="I341" s="25" t="str">
        <f t="shared" si="50"/>
        <v/>
      </c>
      <c r="J341" s="29"/>
      <c r="K341" s="25" t="str">
        <f t="shared" si="51"/>
        <v/>
      </c>
      <c r="L341" s="26" t="str">
        <f t="shared" si="52"/>
        <v/>
      </c>
      <c r="M341" s="29"/>
      <c r="N341" s="29"/>
      <c r="O341" s="29"/>
      <c r="P341" s="29"/>
      <c r="Q341" s="29"/>
      <c r="R341" s="29"/>
      <c r="S341" s="29"/>
      <c r="T341" s="29"/>
      <c r="U341" s="26" t="str">
        <f t="shared" si="53"/>
        <v/>
      </c>
      <c r="V341" s="26"/>
      <c r="W341" s="26" t="str">
        <f t="shared" si="54"/>
        <v/>
      </c>
      <c r="X341" s="26" t="str">
        <f t="shared" si="55"/>
        <v/>
      </c>
      <c r="Y341" s="26" t="str">
        <f t="shared" si="56"/>
        <v/>
      </c>
      <c r="Z341" s="26" t="str">
        <f t="shared" si="57"/>
        <v/>
      </c>
      <c r="AA341" s="26" t="str">
        <f t="shared" si="58"/>
        <v/>
      </c>
      <c r="AB341" s="5" t="str">
        <f t="shared" si="59"/>
        <v/>
      </c>
    </row>
    <row r="342" spans="1:28" ht="12" customHeight="1">
      <c r="A342" s="22">
        <v>337</v>
      </c>
      <c r="B342" s="30"/>
      <c r="C342" s="30"/>
      <c r="D342" s="29"/>
      <c r="E342" s="29"/>
      <c r="F342" s="29"/>
      <c r="G342" s="29"/>
      <c r="H342" s="29"/>
      <c r="I342" s="25" t="str">
        <f t="shared" si="50"/>
        <v/>
      </c>
      <c r="J342" s="29"/>
      <c r="K342" s="25" t="str">
        <f t="shared" si="51"/>
        <v/>
      </c>
      <c r="L342" s="26" t="str">
        <f t="shared" si="52"/>
        <v/>
      </c>
      <c r="M342" s="29"/>
      <c r="N342" s="29"/>
      <c r="O342" s="29"/>
      <c r="P342" s="29"/>
      <c r="Q342" s="29"/>
      <c r="R342" s="29"/>
      <c r="S342" s="29"/>
      <c r="T342" s="29"/>
      <c r="U342" s="26" t="str">
        <f t="shared" si="53"/>
        <v/>
      </c>
      <c r="V342" s="26"/>
      <c r="W342" s="26" t="str">
        <f t="shared" si="54"/>
        <v/>
      </c>
      <c r="X342" s="26" t="str">
        <f t="shared" si="55"/>
        <v/>
      </c>
      <c r="Y342" s="26" t="str">
        <f t="shared" si="56"/>
        <v/>
      </c>
      <c r="Z342" s="26" t="str">
        <f t="shared" si="57"/>
        <v/>
      </c>
      <c r="AA342" s="26" t="str">
        <f t="shared" si="58"/>
        <v/>
      </c>
      <c r="AB342" s="5" t="str">
        <f t="shared" si="59"/>
        <v/>
      </c>
    </row>
    <row r="343" spans="1:28" ht="12" customHeight="1">
      <c r="A343" s="22">
        <v>338</v>
      </c>
      <c r="B343" s="30"/>
      <c r="C343" s="30"/>
      <c r="D343" s="29"/>
      <c r="E343" s="29"/>
      <c r="F343" s="29"/>
      <c r="G343" s="29"/>
      <c r="H343" s="29"/>
      <c r="I343" s="25" t="str">
        <f t="shared" si="50"/>
        <v/>
      </c>
      <c r="J343" s="29"/>
      <c r="K343" s="25" t="str">
        <f t="shared" si="51"/>
        <v/>
      </c>
      <c r="L343" s="26" t="str">
        <f t="shared" si="52"/>
        <v/>
      </c>
      <c r="M343" s="29"/>
      <c r="N343" s="29"/>
      <c r="O343" s="29"/>
      <c r="P343" s="29"/>
      <c r="Q343" s="29"/>
      <c r="R343" s="29"/>
      <c r="S343" s="29"/>
      <c r="T343" s="29"/>
      <c r="U343" s="26" t="str">
        <f t="shared" si="53"/>
        <v/>
      </c>
      <c r="V343" s="26"/>
      <c r="W343" s="26" t="str">
        <f t="shared" si="54"/>
        <v/>
      </c>
      <c r="X343" s="26" t="str">
        <f t="shared" si="55"/>
        <v/>
      </c>
      <c r="Y343" s="26" t="str">
        <f t="shared" si="56"/>
        <v/>
      </c>
      <c r="Z343" s="26" t="str">
        <f t="shared" si="57"/>
        <v/>
      </c>
      <c r="AA343" s="26" t="str">
        <f t="shared" si="58"/>
        <v/>
      </c>
      <c r="AB343" s="5" t="str">
        <f t="shared" si="59"/>
        <v/>
      </c>
    </row>
    <row r="344" spans="1:28" ht="12" customHeight="1">
      <c r="A344" s="22">
        <v>339</v>
      </c>
      <c r="B344" s="30"/>
      <c r="C344" s="30"/>
      <c r="D344" s="29"/>
      <c r="E344" s="29"/>
      <c r="F344" s="29"/>
      <c r="G344" s="29"/>
      <c r="H344" s="29"/>
      <c r="I344" s="25" t="str">
        <f t="shared" si="50"/>
        <v/>
      </c>
      <c r="J344" s="29"/>
      <c r="K344" s="25" t="str">
        <f t="shared" si="51"/>
        <v/>
      </c>
      <c r="L344" s="26" t="str">
        <f t="shared" si="52"/>
        <v/>
      </c>
      <c r="M344" s="29"/>
      <c r="N344" s="29"/>
      <c r="O344" s="29"/>
      <c r="P344" s="29"/>
      <c r="Q344" s="29"/>
      <c r="R344" s="29"/>
      <c r="S344" s="29"/>
      <c r="T344" s="29"/>
      <c r="U344" s="26" t="str">
        <f t="shared" si="53"/>
        <v/>
      </c>
      <c r="V344" s="26"/>
      <c r="W344" s="26" t="str">
        <f t="shared" si="54"/>
        <v/>
      </c>
      <c r="X344" s="26" t="str">
        <f t="shared" si="55"/>
        <v/>
      </c>
      <c r="Y344" s="26" t="str">
        <f t="shared" si="56"/>
        <v/>
      </c>
      <c r="Z344" s="26" t="str">
        <f t="shared" si="57"/>
        <v/>
      </c>
      <c r="AA344" s="26" t="str">
        <f t="shared" si="58"/>
        <v/>
      </c>
      <c r="AB344" s="5" t="str">
        <f t="shared" si="59"/>
        <v/>
      </c>
    </row>
    <row r="345" spans="1:28" ht="12" customHeight="1">
      <c r="A345" s="22">
        <v>340</v>
      </c>
      <c r="B345" s="30"/>
      <c r="C345" s="30"/>
      <c r="D345" s="29"/>
      <c r="E345" s="29"/>
      <c r="F345" s="29"/>
      <c r="G345" s="29"/>
      <c r="H345" s="29"/>
      <c r="I345" s="25" t="str">
        <f t="shared" si="50"/>
        <v/>
      </c>
      <c r="J345" s="29"/>
      <c r="K345" s="25" t="str">
        <f t="shared" si="51"/>
        <v/>
      </c>
      <c r="L345" s="26" t="str">
        <f t="shared" si="52"/>
        <v/>
      </c>
      <c r="M345" s="29"/>
      <c r="N345" s="29"/>
      <c r="O345" s="29"/>
      <c r="P345" s="29"/>
      <c r="Q345" s="29"/>
      <c r="R345" s="29"/>
      <c r="S345" s="29"/>
      <c r="T345" s="29"/>
      <c r="U345" s="26" t="str">
        <f t="shared" si="53"/>
        <v/>
      </c>
      <c r="V345" s="26"/>
      <c r="W345" s="26" t="str">
        <f t="shared" si="54"/>
        <v/>
      </c>
      <c r="X345" s="26" t="str">
        <f t="shared" si="55"/>
        <v/>
      </c>
      <c r="Y345" s="26" t="str">
        <f t="shared" si="56"/>
        <v/>
      </c>
      <c r="Z345" s="26" t="str">
        <f t="shared" si="57"/>
        <v/>
      </c>
      <c r="AA345" s="26" t="str">
        <f t="shared" si="58"/>
        <v/>
      </c>
      <c r="AB345" s="5" t="str">
        <f t="shared" si="59"/>
        <v/>
      </c>
    </row>
    <row r="346" spans="1:28" ht="12" customHeight="1">
      <c r="A346" s="22">
        <v>341</v>
      </c>
      <c r="B346" s="30"/>
      <c r="C346" s="30"/>
      <c r="D346" s="29"/>
      <c r="E346" s="29"/>
      <c r="F346" s="29"/>
      <c r="G346" s="29"/>
      <c r="H346" s="29"/>
      <c r="I346" s="25" t="str">
        <f t="shared" si="50"/>
        <v/>
      </c>
      <c r="J346" s="29"/>
      <c r="K346" s="25" t="str">
        <f t="shared" si="51"/>
        <v/>
      </c>
      <c r="L346" s="26" t="str">
        <f t="shared" si="52"/>
        <v/>
      </c>
      <c r="M346" s="29"/>
      <c r="N346" s="29"/>
      <c r="O346" s="29"/>
      <c r="P346" s="29"/>
      <c r="Q346" s="29"/>
      <c r="R346" s="29"/>
      <c r="S346" s="29"/>
      <c r="T346" s="29"/>
      <c r="U346" s="26" t="str">
        <f t="shared" si="53"/>
        <v/>
      </c>
      <c r="V346" s="26"/>
      <c r="W346" s="26" t="str">
        <f t="shared" si="54"/>
        <v/>
      </c>
      <c r="X346" s="26" t="str">
        <f t="shared" si="55"/>
        <v/>
      </c>
      <c r="Y346" s="26" t="str">
        <f t="shared" si="56"/>
        <v/>
      </c>
      <c r="Z346" s="26" t="str">
        <f t="shared" si="57"/>
        <v/>
      </c>
      <c r="AA346" s="26" t="str">
        <f t="shared" si="58"/>
        <v/>
      </c>
      <c r="AB346" s="5" t="str">
        <f t="shared" si="59"/>
        <v/>
      </c>
    </row>
    <row r="347" spans="1:28" ht="12" customHeight="1">
      <c r="A347" s="22">
        <v>342</v>
      </c>
      <c r="B347" s="30"/>
      <c r="C347" s="30"/>
      <c r="D347" s="29"/>
      <c r="E347" s="29"/>
      <c r="F347" s="29"/>
      <c r="G347" s="29"/>
      <c r="H347" s="29"/>
      <c r="I347" s="25" t="str">
        <f t="shared" si="50"/>
        <v/>
      </c>
      <c r="J347" s="29"/>
      <c r="K347" s="25" t="str">
        <f t="shared" si="51"/>
        <v/>
      </c>
      <c r="L347" s="26" t="str">
        <f t="shared" si="52"/>
        <v/>
      </c>
      <c r="M347" s="29"/>
      <c r="N347" s="29"/>
      <c r="O347" s="29"/>
      <c r="P347" s="29"/>
      <c r="Q347" s="29"/>
      <c r="R347" s="29"/>
      <c r="S347" s="29"/>
      <c r="T347" s="29"/>
      <c r="U347" s="26" t="str">
        <f t="shared" si="53"/>
        <v/>
      </c>
      <c r="V347" s="26"/>
      <c r="W347" s="26" t="str">
        <f t="shared" si="54"/>
        <v/>
      </c>
      <c r="X347" s="26" t="str">
        <f t="shared" si="55"/>
        <v/>
      </c>
      <c r="Y347" s="26" t="str">
        <f t="shared" si="56"/>
        <v/>
      </c>
      <c r="Z347" s="26" t="str">
        <f t="shared" si="57"/>
        <v/>
      </c>
      <c r="AA347" s="26" t="str">
        <f t="shared" si="58"/>
        <v/>
      </c>
      <c r="AB347" s="5" t="str">
        <f t="shared" si="59"/>
        <v/>
      </c>
    </row>
    <row r="348" spans="1:28" ht="12" customHeight="1">
      <c r="A348" s="22">
        <v>343</v>
      </c>
      <c r="B348" s="30"/>
      <c r="C348" s="30"/>
      <c r="D348" s="29"/>
      <c r="E348" s="29"/>
      <c r="F348" s="29"/>
      <c r="G348" s="29"/>
      <c r="H348" s="29"/>
      <c r="I348" s="25" t="str">
        <f t="shared" si="50"/>
        <v/>
      </c>
      <c r="J348" s="29"/>
      <c r="K348" s="25" t="str">
        <f t="shared" si="51"/>
        <v/>
      </c>
      <c r="L348" s="26" t="str">
        <f t="shared" si="52"/>
        <v/>
      </c>
      <c r="M348" s="29"/>
      <c r="N348" s="29"/>
      <c r="O348" s="29"/>
      <c r="P348" s="29"/>
      <c r="Q348" s="29"/>
      <c r="R348" s="29"/>
      <c r="S348" s="29"/>
      <c r="T348" s="29"/>
      <c r="U348" s="26" t="str">
        <f t="shared" si="53"/>
        <v/>
      </c>
      <c r="V348" s="26"/>
      <c r="W348" s="26" t="str">
        <f t="shared" si="54"/>
        <v/>
      </c>
      <c r="X348" s="26" t="str">
        <f t="shared" si="55"/>
        <v/>
      </c>
      <c r="Y348" s="26" t="str">
        <f t="shared" si="56"/>
        <v/>
      </c>
      <c r="Z348" s="26" t="str">
        <f t="shared" si="57"/>
        <v/>
      </c>
      <c r="AA348" s="26" t="str">
        <f t="shared" si="58"/>
        <v/>
      </c>
      <c r="AB348" s="5" t="str">
        <f t="shared" si="59"/>
        <v/>
      </c>
    </row>
    <row r="349" spans="1:28" ht="12" customHeight="1">
      <c r="A349" s="22">
        <v>344</v>
      </c>
      <c r="B349" s="30"/>
      <c r="C349" s="30"/>
      <c r="D349" s="29"/>
      <c r="E349" s="29"/>
      <c r="F349" s="29"/>
      <c r="G349" s="29"/>
      <c r="H349" s="29"/>
      <c r="I349" s="25" t="str">
        <f t="shared" si="50"/>
        <v/>
      </c>
      <c r="J349" s="29"/>
      <c r="K349" s="25" t="str">
        <f t="shared" si="51"/>
        <v/>
      </c>
      <c r="L349" s="26" t="str">
        <f t="shared" si="52"/>
        <v/>
      </c>
      <c r="M349" s="29"/>
      <c r="N349" s="29"/>
      <c r="O349" s="29"/>
      <c r="P349" s="29"/>
      <c r="Q349" s="29"/>
      <c r="R349" s="29"/>
      <c r="S349" s="29"/>
      <c r="T349" s="29"/>
      <c r="U349" s="26" t="str">
        <f t="shared" si="53"/>
        <v/>
      </c>
      <c r="V349" s="26"/>
      <c r="W349" s="26" t="str">
        <f t="shared" si="54"/>
        <v/>
      </c>
      <c r="X349" s="26" t="str">
        <f t="shared" si="55"/>
        <v/>
      </c>
      <c r="Y349" s="26" t="str">
        <f t="shared" si="56"/>
        <v/>
      </c>
      <c r="Z349" s="26" t="str">
        <f t="shared" si="57"/>
        <v/>
      </c>
      <c r="AA349" s="26" t="str">
        <f t="shared" si="58"/>
        <v/>
      </c>
      <c r="AB349" s="5" t="str">
        <f t="shared" si="59"/>
        <v/>
      </c>
    </row>
    <row r="350" spans="1:28" ht="12" customHeight="1">
      <c r="A350" s="22">
        <v>345</v>
      </c>
      <c r="B350" s="30"/>
      <c r="C350" s="30"/>
      <c r="D350" s="29"/>
      <c r="E350" s="29"/>
      <c r="F350" s="29"/>
      <c r="G350" s="29"/>
      <c r="H350" s="29"/>
      <c r="I350" s="25" t="str">
        <f t="shared" si="50"/>
        <v/>
      </c>
      <c r="J350" s="29"/>
      <c r="K350" s="25" t="str">
        <f t="shared" si="51"/>
        <v/>
      </c>
      <c r="L350" s="26" t="str">
        <f t="shared" si="52"/>
        <v/>
      </c>
      <c r="M350" s="29"/>
      <c r="N350" s="29"/>
      <c r="O350" s="29"/>
      <c r="P350" s="29"/>
      <c r="Q350" s="29"/>
      <c r="R350" s="29"/>
      <c r="S350" s="29"/>
      <c r="T350" s="29"/>
      <c r="U350" s="26" t="str">
        <f t="shared" si="53"/>
        <v/>
      </c>
      <c r="V350" s="26"/>
      <c r="W350" s="26" t="str">
        <f t="shared" si="54"/>
        <v/>
      </c>
      <c r="X350" s="26" t="str">
        <f t="shared" si="55"/>
        <v/>
      </c>
      <c r="Y350" s="26" t="str">
        <f t="shared" si="56"/>
        <v/>
      </c>
      <c r="Z350" s="26" t="str">
        <f t="shared" si="57"/>
        <v/>
      </c>
      <c r="AA350" s="26" t="str">
        <f t="shared" si="58"/>
        <v/>
      </c>
      <c r="AB350" s="5" t="str">
        <f t="shared" si="59"/>
        <v/>
      </c>
    </row>
    <row r="351" spans="1:28" ht="12" customHeight="1">
      <c r="A351" s="22">
        <v>359</v>
      </c>
      <c r="B351" s="30"/>
      <c r="C351" s="30"/>
      <c r="D351" s="29"/>
      <c r="E351" s="29"/>
      <c r="F351" s="29"/>
      <c r="G351" s="29"/>
      <c r="H351" s="29"/>
      <c r="I351" s="25" t="str">
        <f t="shared" si="50"/>
        <v/>
      </c>
      <c r="J351" s="29"/>
      <c r="K351" s="25" t="str">
        <f t="shared" si="51"/>
        <v/>
      </c>
      <c r="L351" s="26" t="str">
        <f t="shared" si="52"/>
        <v/>
      </c>
      <c r="M351" s="29"/>
      <c r="N351" s="29"/>
      <c r="O351" s="29"/>
      <c r="P351" s="29"/>
      <c r="Q351" s="29"/>
      <c r="R351" s="29"/>
      <c r="S351" s="29"/>
      <c r="T351" s="29"/>
      <c r="U351" s="26" t="str">
        <f t="shared" si="53"/>
        <v/>
      </c>
      <c r="V351" s="26"/>
      <c r="W351" s="26" t="str">
        <f t="shared" si="54"/>
        <v/>
      </c>
      <c r="X351" s="26" t="str">
        <f t="shared" si="55"/>
        <v/>
      </c>
      <c r="Y351" s="26" t="str">
        <f t="shared" si="56"/>
        <v/>
      </c>
      <c r="Z351" s="26" t="str">
        <f t="shared" si="57"/>
        <v/>
      </c>
      <c r="AA351" s="26" t="str">
        <f t="shared" si="58"/>
        <v/>
      </c>
      <c r="AB351" s="5" t="str">
        <f t="shared" si="59"/>
        <v/>
      </c>
    </row>
    <row r="352" spans="1:28" ht="12" customHeight="1">
      <c r="A352" s="22">
        <v>360</v>
      </c>
      <c r="B352" s="30"/>
      <c r="C352" s="30"/>
      <c r="D352" s="29"/>
      <c r="E352" s="29"/>
      <c r="F352" s="29"/>
      <c r="G352" s="29"/>
      <c r="H352" s="29"/>
      <c r="I352" s="25" t="str">
        <f t="shared" si="50"/>
        <v/>
      </c>
      <c r="J352" s="29"/>
      <c r="K352" s="25" t="str">
        <f t="shared" si="51"/>
        <v/>
      </c>
      <c r="L352" s="26" t="str">
        <f t="shared" si="52"/>
        <v/>
      </c>
      <c r="M352" s="29"/>
      <c r="N352" s="29"/>
      <c r="O352" s="29"/>
      <c r="P352" s="29"/>
      <c r="Q352" s="29"/>
      <c r="R352" s="29"/>
      <c r="S352" s="29"/>
      <c r="T352" s="29"/>
      <c r="U352" s="26" t="str">
        <f t="shared" si="53"/>
        <v/>
      </c>
      <c r="V352" s="26"/>
      <c r="W352" s="26" t="str">
        <f t="shared" si="54"/>
        <v/>
      </c>
      <c r="X352" s="26" t="str">
        <f t="shared" si="55"/>
        <v/>
      </c>
      <c r="Y352" s="26" t="str">
        <f t="shared" si="56"/>
        <v/>
      </c>
      <c r="Z352" s="26" t="str">
        <f t="shared" si="57"/>
        <v/>
      </c>
      <c r="AA352" s="26" t="str">
        <f t="shared" si="58"/>
        <v/>
      </c>
      <c r="AB352" s="5" t="str">
        <f t="shared" si="59"/>
        <v/>
      </c>
    </row>
    <row r="353" spans="1:28" ht="12" customHeight="1">
      <c r="A353" s="22">
        <v>361</v>
      </c>
      <c r="B353" s="30"/>
      <c r="C353" s="30"/>
      <c r="D353" s="29"/>
      <c r="E353" s="29"/>
      <c r="F353" s="29"/>
      <c r="G353" s="29"/>
      <c r="H353" s="29"/>
      <c r="I353" s="25" t="str">
        <f t="shared" si="50"/>
        <v/>
      </c>
      <c r="J353" s="29"/>
      <c r="K353" s="25" t="str">
        <f t="shared" si="51"/>
        <v/>
      </c>
      <c r="L353" s="26" t="str">
        <f t="shared" si="52"/>
        <v/>
      </c>
      <c r="M353" s="29"/>
      <c r="N353" s="29"/>
      <c r="O353" s="29"/>
      <c r="P353" s="29"/>
      <c r="Q353" s="29"/>
      <c r="R353" s="29"/>
      <c r="S353" s="29"/>
      <c r="T353" s="29"/>
      <c r="U353" s="26" t="str">
        <f t="shared" si="53"/>
        <v/>
      </c>
      <c r="V353" s="26"/>
      <c r="W353" s="26" t="str">
        <f t="shared" si="54"/>
        <v/>
      </c>
      <c r="X353" s="26" t="str">
        <f t="shared" si="55"/>
        <v/>
      </c>
      <c r="Y353" s="26" t="str">
        <f t="shared" si="56"/>
        <v/>
      </c>
      <c r="Z353" s="26" t="str">
        <f t="shared" si="57"/>
        <v/>
      </c>
      <c r="AA353" s="26" t="str">
        <f t="shared" si="58"/>
        <v/>
      </c>
      <c r="AB353" s="5" t="str">
        <f t="shared" si="59"/>
        <v/>
      </c>
    </row>
    <row r="354" spans="1:28" ht="12" customHeight="1">
      <c r="A354" s="22">
        <v>362</v>
      </c>
      <c r="B354" s="30"/>
      <c r="C354" s="30"/>
      <c r="D354" s="29"/>
      <c r="E354" s="29"/>
      <c r="F354" s="29"/>
      <c r="G354" s="29"/>
      <c r="H354" s="29"/>
      <c r="I354" s="25" t="str">
        <f t="shared" si="50"/>
        <v/>
      </c>
      <c r="J354" s="29"/>
      <c r="K354" s="25" t="str">
        <f t="shared" si="51"/>
        <v/>
      </c>
      <c r="L354" s="26" t="str">
        <f t="shared" si="52"/>
        <v/>
      </c>
      <c r="M354" s="29"/>
      <c r="N354" s="29"/>
      <c r="O354" s="29"/>
      <c r="P354" s="29"/>
      <c r="Q354" s="29"/>
      <c r="R354" s="29"/>
      <c r="S354" s="29"/>
      <c r="T354" s="29"/>
      <c r="U354" s="26" t="str">
        <f t="shared" si="53"/>
        <v/>
      </c>
      <c r="V354" s="26"/>
      <c r="W354" s="26" t="str">
        <f t="shared" si="54"/>
        <v/>
      </c>
      <c r="X354" s="26" t="str">
        <f t="shared" si="55"/>
        <v/>
      </c>
      <c r="Y354" s="26" t="str">
        <f t="shared" si="56"/>
        <v/>
      </c>
      <c r="Z354" s="26" t="str">
        <f t="shared" si="57"/>
        <v/>
      </c>
      <c r="AA354" s="26" t="str">
        <f t="shared" si="58"/>
        <v/>
      </c>
      <c r="AB354" s="5" t="str">
        <f t="shared" si="59"/>
        <v/>
      </c>
    </row>
    <row r="355" spans="1:28" ht="12" customHeight="1">
      <c r="A355" s="22">
        <v>363</v>
      </c>
      <c r="B355" s="30"/>
      <c r="C355" s="30"/>
      <c r="D355" s="29"/>
      <c r="E355" s="29"/>
      <c r="F355" s="29"/>
      <c r="G355" s="29"/>
      <c r="H355" s="29"/>
      <c r="I355" s="25" t="str">
        <f t="shared" si="50"/>
        <v/>
      </c>
      <c r="J355" s="29"/>
      <c r="K355" s="25" t="str">
        <f t="shared" si="51"/>
        <v/>
      </c>
      <c r="L355" s="26" t="str">
        <f t="shared" si="52"/>
        <v/>
      </c>
      <c r="M355" s="29"/>
      <c r="N355" s="29"/>
      <c r="O355" s="29"/>
      <c r="P355" s="29"/>
      <c r="Q355" s="29"/>
      <c r="R355" s="29"/>
      <c r="S355" s="29"/>
      <c r="T355" s="29"/>
      <c r="U355" s="26" t="str">
        <f t="shared" si="53"/>
        <v/>
      </c>
      <c r="V355" s="26"/>
      <c r="W355" s="26" t="str">
        <f t="shared" si="54"/>
        <v/>
      </c>
      <c r="X355" s="26" t="str">
        <f t="shared" si="55"/>
        <v/>
      </c>
      <c r="Y355" s="26" t="str">
        <f t="shared" si="56"/>
        <v/>
      </c>
      <c r="Z355" s="26" t="str">
        <f t="shared" si="57"/>
        <v/>
      </c>
      <c r="AA355" s="26" t="str">
        <f t="shared" si="58"/>
        <v/>
      </c>
      <c r="AB355" s="5" t="str">
        <f t="shared" si="59"/>
        <v/>
      </c>
    </row>
    <row r="356" spans="1:28" ht="12" customHeight="1">
      <c r="A356" s="22">
        <v>364</v>
      </c>
      <c r="B356" s="30"/>
      <c r="C356" s="30"/>
      <c r="D356" s="29"/>
      <c r="E356" s="29"/>
      <c r="F356" s="29"/>
      <c r="G356" s="29"/>
      <c r="H356" s="29"/>
      <c r="I356" s="25" t="str">
        <f t="shared" si="50"/>
        <v/>
      </c>
      <c r="J356" s="29"/>
      <c r="K356" s="25" t="str">
        <f t="shared" si="51"/>
        <v/>
      </c>
      <c r="L356" s="26" t="str">
        <f t="shared" si="52"/>
        <v/>
      </c>
      <c r="M356" s="29"/>
      <c r="N356" s="29"/>
      <c r="O356" s="29"/>
      <c r="P356" s="29"/>
      <c r="Q356" s="29"/>
      <c r="R356" s="29"/>
      <c r="S356" s="29"/>
      <c r="T356" s="29"/>
      <c r="U356" s="26" t="str">
        <f t="shared" si="53"/>
        <v/>
      </c>
      <c r="V356" s="26"/>
      <c r="W356" s="26" t="str">
        <f t="shared" si="54"/>
        <v/>
      </c>
      <c r="X356" s="26" t="str">
        <f t="shared" si="55"/>
        <v/>
      </c>
      <c r="Y356" s="26" t="str">
        <f t="shared" si="56"/>
        <v/>
      </c>
      <c r="Z356" s="26" t="str">
        <f t="shared" si="57"/>
        <v/>
      </c>
      <c r="AA356" s="26" t="str">
        <f t="shared" si="58"/>
        <v/>
      </c>
      <c r="AB356" s="5" t="str">
        <f t="shared" si="59"/>
        <v/>
      </c>
    </row>
    <row r="357" spans="1:28" ht="12" customHeight="1">
      <c r="A357" s="22">
        <v>365</v>
      </c>
      <c r="B357" s="30"/>
      <c r="C357" s="30"/>
      <c r="D357" s="29"/>
      <c r="E357" s="29"/>
      <c r="F357" s="29"/>
      <c r="G357" s="29"/>
      <c r="H357" s="29"/>
      <c r="I357" s="25" t="str">
        <f t="shared" si="50"/>
        <v/>
      </c>
      <c r="J357" s="29"/>
      <c r="K357" s="25" t="str">
        <f t="shared" si="51"/>
        <v/>
      </c>
      <c r="L357" s="26" t="str">
        <f t="shared" si="52"/>
        <v/>
      </c>
      <c r="M357" s="29"/>
      <c r="N357" s="29"/>
      <c r="O357" s="29"/>
      <c r="P357" s="29"/>
      <c r="Q357" s="29"/>
      <c r="R357" s="29"/>
      <c r="S357" s="29"/>
      <c r="T357" s="29"/>
      <c r="U357" s="26" t="str">
        <f t="shared" si="53"/>
        <v/>
      </c>
      <c r="V357" s="26"/>
      <c r="W357" s="26" t="str">
        <f t="shared" si="54"/>
        <v/>
      </c>
      <c r="X357" s="26" t="str">
        <f t="shared" si="55"/>
        <v/>
      </c>
      <c r="Y357" s="26" t="str">
        <f t="shared" si="56"/>
        <v/>
      </c>
      <c r="Z357" s="26" t="str">
        <f t="shared" si="57"/>
        <v/>
      </c>
      <c r="AA357" s="26" t="str">
        <f t="shared" si="58"/>
        <v/>
      </c>
      <c r="AB357" s="5" t="str">
        <f t="shared" si="59"/>
        <v/>
      </c>
    </row>
    <row r="358" spans="1:28" ht="12" customHeight="1">
      <c r="A358" s="22">
        <v>366</v>
      </c>
      <c r="B358" s="30"/>
      <c r="C358" s="30"/>
      <c r="D358" s="29"/>
      <c r="E358" s="29"/>
      <c r="F358" s="29"/>
      <c r="G358" s="29"/>
      <c r="H358" s="29"/>
      <c r="I358" s="25" t="str">
        <f t="shared" si="50"/>
        <v/>
      </c>
      <c r="J358" s="29"/>
      <c r="K358" s="25" t="str">
        <f t="shared" si="51"/>
        <v/>
      </c>
      <c r="L358" s="26" t="str">
        <f t="shared" si="52"/>
        <v/>
      </c>
      <c r="M358" s="29"/>
      <c r="N358" s="29"/>
      <c r="O358" s="29"/>
      <c r="P358" s="29"/>
      <c r="Q358" s="29"/>
      <c r="R358" s="29"/>
      <c r="S358" s="29"/>
      <c r="T358" s="29"/>
      <c r="U358" s="26" t="str">
        <f t="shared" si="53"/>
        <v/>
      </c>
      <c r="V358" s="26"/>
      <c r="W358" s="26" t="str">
        <f t="shared" si="54"/>
        <v/>
      </c>
      <c r="X358" s="26" t="str">
        <f t="shared" si="55"/>
        <v/>
      </c>
      <c r="Y358" s="26" t="str">
        <f t="shared" si="56"/>
        <v/>
      </c>
      <c r="Z358" s="26" t="str">
        <f t="shared" si="57"/>
        <v/>
      </c>
      <c r="AA358" s="26" t="str">
        <f t="shared" si="58"/>
        <v/>
      </c>
      <c r="AB358" s="5" t="str">
        <f t="shared" si="59"/>
        <v/>
      </c>
    </row>
    <row r="359" spans="1:28" ht="12" customHeight="1">
      <c r="A359" s="22">
        <v>367</v>
      </c>
      <c r="B359" s="30"/>
      <c r="C359" s="30"/>
      <c r="D359" s="29"/>
      <c r="E359" s="29"/>
      <c r="F359" s="29"/>
      <c r="G359" s="29"/>
      <c r="H359" s="29"/>
      <c r="I359" s="25" t="str">
        <f t="shared" si="50"/>
        <v/>
      </c>
      <c r="J359" s="29"/>
      <c r="K359" s="25" t="str">
        <f t="shared" si="51"/>
        <v/>
      </c>
      <c r="L359" s="26" t="str">
        <f t="shared" si="52"/>
        <v/>
      </c>
      <c r="M359" s="29"/>
      <c r="N359" s="29"/>
      <c r="O359" s="29"/>
      <c r="P359" s="29"/>
      <c r="Q359" s="29"/>
      <c r="R359" s="29"/>
      <c r="S359" s="29"/>
      <c r="T359" s="29"/>
      <c r="U359" s="26" t="str">
        <f t="shared" si="53"/>
        <v/>
      </c>
      <c r="V359" s="26"/>
      <c r="W359" s="26" t="str">
        <f t="shared" si="54"/>
        <v/>
      </c>
      <c r="X359" s="26" t="str">
        <f t="shared" si="55"/>
        <v/>
      </c>
      <c r="Y359" s="26" t="str">
        <f t="shared" si="56"/>
        <v/>
      </c>
      <c r="Z359" s="26" t="str">
        <f t="shared" si="57"/>
        <v/>
      </c>
      <c r="AA359" s="26" t="str">
        <f t="shared" si="58"/>
        <v/>
      </c>
      <c r="AB359" s="5" t="str">
        <f t="shared" si="59"/>
        <v/>
      </c>
    </row>
    <row r="360" spans="1:28" ht="12" customHeight="1">
      <c r="A360" s="22">
        <v>368</v>
      </c>
      <c r="B360" s="30"/>
      <c r="C360" s="30"/>
      <c r="D360" s="29"/>
      <c r="E360" s="29"/>
      <c r="F360" s="29"/>
      <c r="G360" s="29"/>
      <c r="H360" s="29"/>
      <c r="I360" s="25" t="str">
        <f t="shared" si="50"/>
        <v/>
      </c>
      <c r="J360" s="29"/>
      <c r="K360" s="25" t="str">
        <f t="shared" si="51"/>
        <v/>
      </c>
      <c r="L360" s="26" t="str">
        <f t="shared" si="52"/>
        <v/>
      </c>
      <c r="M360" s="29"/>
      <c r="N360" s="29"/>
      <c r="O360" s="29"/>
      <c r="P360" s="29"/>
      <c r="Q360" s="29"/>
      <c r="R360" s="29"/>
      <c r="S360" s="29"/>
      <c r="T360" s="29"/>
      <c r="U360" s="26" t="str">
        <f t="shared" si="53"/>
        <v/>
      </c>
      <c r="V360" s="26"/>
      <c r="W360" s="26" t="str">
        <f t="shared" si="54"/>
        <v/>
      </c>
      <c r="X360" s="26" t="str">
        <f t="shared" si="55"/>
        <v/>
      </c>
      <c r="Y360" s="26" t="str">
        <f t="shared" si="56"/>
        <v/>
      </c>
      <c r="Z360" s="26" t="str">
        <f t="shared" si="57"/>
        <v/>
      </c>
      <c r="AA360" s="26" t="str">
        <f t="shared" si="58"/>
        <v/>
      </c>
      <c r="AB360" s="5" t="str">
        <f t="shared" si="59"/>
        <v/>
      </c>
    </row>
    <row r="361" spans="1:28" ht="12" customHeight="1">
      <c r="A361" s="22">
        <v>369</v>
      </c>
      <c r="B361" s="30"/>
      <c r="C361" s="30"/>
      <c r="D361" s="29"/>
      <c r="E361" s="29"/>
      <c r="F361" s="29"/>
      <c r="G361" s="29"/>
      <c r="H361" s="29"/>
      <c r="I361" s="25" t="str">
        <f t="shared" si="50"/>
        <v/>
      </c>
      <c r="J361" s="29"/>
      <c r="K361" s="25" t="str">
        <f t="shared" si="51"/>
        <v/>
      </c>
      <c r="L361" s="26" t="str">
        <f t="shared" si="52"/>
        <v/>
      </c>
      <c r="M361" s="29"/>
      <c r="N361" s="29"/>
      <c r="O361" s="29"/>
      <c r="P361" s="29"/>
      <c r="Q361" s="29"/>
      <c r="R361" s="29"/>
      <c r="S361" s="29"/>
      <c r="T361" s="29"/>
      <c r="U361" s="26" t="str">
        <f t="shared" si="53"/>
        <v/>
      </c>
      <c r="V361" s="26"/>
      <c r="W361" s="26" t="str">
        <f t="shared" si="54"/>
        <v/>
      </c>
      <c r="X361" s="26" t="str">
        <f t="shared" si="55"/>
        <v/>
      </c>
      <c r="Y361" s="26" t="str">
        <f t="shared" si="56"/>
        <v/>
      </c>
      <c r="Z361" s="26" t="str">
        <f t="shared" si="57"/>
        <v/>
      </c>
      <c r="AA361" s="26" t="str">
        <f t="shared" si="58"/>
        <v/>
      </c>
      <c r="AB361" s="5" t="str">
        <f t="shared" si="59"/>
        <v/>
      </c>
    </row>
    <row r="362" spans="1:28" ht="12" customHeight="1">
      <c r="A362" s="22">
        <v>370</v>
      </c>
      <c r="B362" s="30"/>
      <c r="C362" s="30"/>
      <c r="D362" s="29"/>
      <c r="E362" s="29"/>
      <c r="F362" s="29"/>
      <c r="G362" s="29"/>
      <c r="H362" s="29"/>
      <c r="I362" s="25" t="str">
        <f t="shared" si="50"/>
        <v/>
      </c>
      <c r="J362" s="29"/>
      <c r="K362" s="25" t="str">
        <f t="shared" si="51"/>
        <v/>
      </c>
      <c r="L362" s="26" t="str">
        <f t="shared" si="52"/>
        <v/>
      </c>
      <c r="M362" s="29"/>
      <c r="N362" s="29"/>
      <c r="O362" s="29"/>
      <c r="P362" s="29"/>
      <c r="Q362" s="29"/>
      <c r="R362" s="29"/>
      <c r="S362" s="29"/>
      <c r="T362" s="29"/>
      <c r="U362" s="26" t="str">
        <f t="shared" si="53"/>
        <v/>
      </c>
      <c r="V362" s="26"/>
      <c r="W362" s="26" t="str">
        <f t="shared" si="54"/>
        <v/>
      </c>
      <c r="X362" s="26" t="str">
        <f t="shared" si="55"/>
        <v/>
      </c>
      <c r="Y362" s="26" t="str">
        <f t="shared" si="56"/>
        <v/>
      </c>
      <c r="Z362" s="26" t="str">
        <f t="shared" si="57"/>
        <v/>
      </c>
      <c r="AA362" s="26" t="str">
        <f t="shared" si="58"/>
        <v/>
      </c>
      <c r="AB362" s="5" t="str">
        <f t="shared" si="59"/>
        <v/>
      </c>
    </row>
    <row r="363" spans="1:28" ht="12" customHeight="1">
      <c r="A363" s="22">
        <v>371</v>
      </c>
      <c r="B363" s="30"/>
      <c r="C363" s="30"/>
      <c r="D363" s="29"/>
      <c r="E363" s="29"/>
      <c r="F363" s="29"/>
      <c r="G363" s="29"/>
      <c r="H363" s="29"/>
      <c r="I363" s="25" t="str">
        <f t="shared" si="50"/>
        <v/>
      </c>
      <c r="J363" s="29"/>
      <c r="K363" s="25" t="str">
        <f t="shared" si="51"/>
        <v/>
      </c>
      <c r="L363" s="26" t="str">
        <f t="shared" si="52"/>
        <v/>
      </c>
      <c r="M363" s="29"/>
      <c r="N363" s="29"/>
      <c r="O363" s="29"/>
      <c r="P363" s="29"/>
      <c r="Q363" s="29"/>
      <c r="R363" s="29"/>
      <c r="S363" s="29"/>
      <c r="T363" s="29"/>
      <c r="U363" s="26" t="str">
        <f t="shared" si="53"/>
        <v/>
      </c>
      <c r="V363" s="26"/>
      <c r="W363" s="26" t="str">
        <f t="shared" si="54"/>
        <v/>
      </c>
      <c r="X363" s="26" t="str">
        <f t="shared" si="55"/>
        <v/>
      </c>
      <c r="Y363" s="26" t="str">
        <f t="shared" si="56"/>
        <v/>
      </c>
      <c r="Z363" s="26" t="str">
        <f t="shared" si="57"/>
        <v/>
      </c>
      <c r="AA363" s="26" t="str">
        <f t="shared" si="58"/>
        <v/>
      </c>
      <c r="AB363" s="5" t="str">
        <f t="shared" si="59"/>
        <v/>
      </c>
    </row>
    <row r="364" spans="1:28" ht="12" customHeight="1">
      <c r="A364" s="22">
        <v>372</v>
      </c>
      <c r="B364" s="30"/>
      <c r="C364" s="30"/>
      <c r="D364" s="29"/>
      <c r="E364" s="29"/>
      <c r="F364" s="29"/>
      <c r="G364" s="29"/>
      <c r="H364" s="29"/>
      <c r="I364" s="25" t="str">
        <f t="shared" si="50"/>
        <v/>
      </c>
      <c r="J364" s="29"/>
      <c r="K364" s="25" t="str">
        <f t="shared" si="51"/>
        <v/>
      </c>
      <c r="L364" s="26" t="str">
        <f t="shared" si="52"/>
        <v/>
      </c>
      <c r="M364" s="29"/>
      <c r="N364" s="29"/>
      <c r="O364" s="29"/>
      <c r="P364" s="29"/>
      <c r="Q364" s="29"/>
      <c r="R364" s="29"/>
      <c r="S364" s="29"/>
      <c r="T364" s="29"/>
      <c r="U364" s="26" t="str">
        <f t="shared" si="53"/>
        <v/>
      </c>
      <c r="V364" s="26"/>
      <c r="W364" s="26" t="str">
        <f t="shared" si="54"/>
        <v/>
      </c>
      <c r="X364" s="26" t="str">
        <f t="shared" si="55"/>
        <v/>
      </c>
      <c r="Y364" s="26" t="str">
        <f t="shared" si="56"/>
        <v/>
      </c>
      <c r="Z364" s="26" t="str">
        <f t="shared" si="57"/>
        <v/>
      </c>
      <c r="AA364" s="26" t="str">
        <f t="shared" si="58"/>
        <v/>
      </c>
      <c r="AB364" s="5" t="str">
        <f t="shared" si="59"/>
        <v/>
      </c>
    </row>
    <row r="365" spans="1:28" ht="12" customHeight="1">
      <c r="A365" s="22">
        <v>373</v>
      </c>
      <c r="B365" s="30"/>
      <c r="C365" s="30"/>
      <c r="D365" s="29"/>
      <c r="E365" s="29"/>
      <c r="F365" s="29"/>
      <c r="G365" s="29"/>
      <c r="H365" s="29"/>
      <c r="I365" s="25" t="str">
        <f t="shared" si="50"/>
        <v/>
      </c>
      <c r="J365" s="29"/>
      <c r="K365" s="25" t="str">
        <f t="shared" si="51"/>
        <v/>
      </c>
      <c r="L365" s="26" t="str">
        <f t="shared" si="52"/>
        <v/>
      </c>
      <c r="M365" s="29"/>
      <c r="N365" s="29"/>
      <c r="O365" s="29"/>
      <c r="P365" s="29"/>
      <c r="Q365" s="29"/>
      <c r="R365" s="29"/>
      <c r="S365" s="29"/>
      <c r="T365" s="29"/>
      <c r="U365" s="26" t="str">
        <f t="shared" si="53"/>
        <v/>
      </c>
      <c r="V365" s="26"/>
      <c r="W365" s="26" t="str">
        <f t="shared" si="54"/>
        <v/>
      </c>
      <c r="X365" s="26" t="str">
        <f t="shared" si="55"/>
        <v/>
      </c>
      <c r="Y365" s="26" t="str">
        <f t="shared" si="56"/>
        <v/>
      </c>
      <c r="Z365" s="26" t="str">
        <f t="shared" si="57"/>
        <v/>
      </c>
      <c r="AA365" s="26" t="str">
        <f t="shared" si="58"/>
        <v/>
      </c>
      <c r="AB365" s="5" t="str">
        <f t="shared" si="59"/>
        <v/>
      </c>
    </row>
    <row r="366" spans="1:28" ht="12" customHeight="1">
      <c r="A366" s="22">
        <v>374</v>
      </c>
      <c r="B366" s="30"/>
      <c r="C366" s="30"/>
      <c r="D366" s="29"/>
      <c r="E366" s="29"/>
      <c r="F366" s="29"/>
      <c r="G366" s="29"/>
      <c r="H366" s="29"/>
      <c r="I366" s="25" t="str">
        <f t="shared" si="50"/>
        <v/>
      </c>
      <c r="J366" s="29"/>
      <c r="K366" s="25" t="str">
        <f t="shared" si="51"/>
        <v/>
      </c>
      <c r="L366" s="26" t="str">
        <f t="shared" si="52"/>
        <v/>
      </c>
      <c r="M366" s="29"/>
      <c r="N366" s="29"/>
      <c r="O366" s="29"/>
      <c r="P366" s="29"/>
      <c r="Q366" s="29"/>
      <c r="R366" s="29"/>
      <c r="S366" s="29"/>
      <c r="T366" s="29"/>
      <c r="U366" s="26" t="str">
        <f t="shared" si="53"/>
        <v/>
      </c>
      <c r="V366" s="26"/>
      <c r="W366" s="26" t="str">
        <f t="shared" si="54"/>
        <v/>
      </c>
      <c r="X366" s="26" t="str">
        <f t="shared" si="55"/>
        <v/>
      </c>
      <c r="Y366" s="26" t="str">
        <f t="shared" si="56"/>
        <v/>
      </c>
      <c r="Z366" s="26" t="str">
        <f t="shared" si="57"/>
        <v/>
      </c>
      <c r="AA366" s="26" t="str">
        <f t="shared" si="58"/>
        <v/>
      </c>
      <c r="AB366" s="5" t="str">
        <f t="shared" si="59"/>
        <v/>
      </c>
    </row>
    <row r="367" spans="1:28" ht="12" customHeight="1">
      <c r="A367" s="22">
        <v>375</v>
      </c>
      <c r="B367" s="30"/>
      <c r="C367" s="30"/>
      <c r="D367" s="29"/>
      <c r="E367" s="29"/>
      <c r="F367" s="29"/>
      <c r="G367" s="29"/>
      <c r="H367" s="29"/>
      <c r="I367" s="25" t="str">
        <f t="shared" si="50"/>
        <v/>
      </c>
      <c r="J367" s="29"/>
      <c r="K367" s="25" t="str">
        <f t="shared" si="51"/>
        <v/>
      </c>
      <c r="L367" s="26" t="str">
        <f t="shared" si="52"/>
        <v/>
      </c>
      <c r="M367" s="29"/>
      <c r="N367" s="29"/>
      <c r="O367" s="29"/>
      <c r="P367" s="29"/>
      <c r="Q367" s="29"/>
      <c r="R367" s="29"/>
      <c r="S367" s="29"/>
      <c r="T367" s="29"/>
      <c r="U367" s="26" t="str">
        <f t="shared" si="53"/>
        <v/>
      </c>
      <c r="V367" s="26"/>
      <c r="W367" s="26" t="str">
        <f t="shared" si="54"/>
        <v/>
      </c>
      <c r="X367" s="26" t="str">
        <f t="shared" si="55"/>
        <v/>
      </c>
      <c r="Y367" s="26" t="str">
        <f t="shared" si="56"/>
        <v/>
      </c>
      <c r="Z367" s="26" t="str">
        <f t="shared" si="57"/>
        <v/>
      </c>
      <c r="AA367" s="26" t="str">
        <f t="shared" si="58"/>
        <v/>
      </c>
      <c r="AB367" s="5" t="str">
        <f t="shared" si="59"/>
        <v/>
      </c>
    </row>
    <row r="368" spans="1:28" ht="12" customHeight="1">
      <c r="A368" s="22">
        <v>376</v>
      </c>
      <c r="B368" s="30"/>
      <c r="C368" s="30"/>
      <c r="D368" s="29"/>
      <c r="E368" s="29"/>
      <c r="F368" s="29"/>
      <c r="G368" s="29"/>
      <c r="H368" s="29"/>
      <c r="I368" s="25" t="str">
        <f t="shared" si="50"/>
        <v/>
      </c>
      <c r="J368" s="29"/>
      <c r="K368" s="25" t="str">
        <f t="shared" si="51"/>
        <v/>
      </c>
      <c r="L368" s="26" t="str">
        <f t="shared" si="52"/>
        <v/>
      </c>
      <c r="M368" s="29"/>
      <c r="N368" s="29"/>
      <c r="O368" s="29"/>
      <c r="P368" s="29"/>
      <c r="Q368" s="29"/>
      <c r="R368" s="29"/>
      <c r="S368" s="29"/>
      <c r="T368" s="29"/>
      <c r="U368" s="26" t="str">
        <f t="shared" si="53"/>
        <v/>
      </c>
      <c r="V368" s="26"/>
      <c r="W368" s="26" t="str">
        <f t="shared" si="54"/>
        <v/>
      </c>
      <c r="X368" s="26" t="str">
        <f t="shared" si="55"/>
        <v/>
      </c>
      <c r="Y368" s="26" t="str">
        <f t="shared" si="56"/>
        <v/>
      </c>
      <c r="Z368" s="26" t="str">
        <f t="shared" si="57"/>
        <v/>
      </c>
      <c r="AA368" s="26" t="str">
        <f t="shared" si="58"/>
        <v/>
      </c>
      <c r="AB368" s="5" t="str">
        <f t="shared" si="59"/>
        <v/>
      </c>
    </row>
    <row r="369" spans="1:28" ht="12" customHeight="1">
      <c r="A369" s="22">
        <v>377</v>
      </c>
      <c r="B369" s="30"/>
      <c r="C369" s="30"/>
      <c r="D369" s="29"/>
      <c r="E369" s="29"/>
      <c r="F369" s="29"/>
      <c r="G369" s="29"/>
      <c r="H369" s="29"/>
      <c r="I369" s="25" t="str">
        <f t="shared" si="50"/>
        <v/>
      </c>
      <c r="J369" s="29"/>
      <c r="K369" s="25" t="str">
        <f t="shared" si="51"/>
        <v/>
      </c>
      <c r="L369" s="26" t="str">
        <f t="shared" si="52"/>
        <v/>
      </c>
      <c r="M369" s="29"/>
      <c r="N369" s="29"/>
      <c r="O369" s="29"/>
      <c r="P369" s="29"/>
      <c r="Q369" s="29"/>
      <c r="R369" s="29"/>
      <c r="S369" s="29"/>
      <c r="T369" s="29"/>
      <c r="U369" s="26" t="str">
        <f t="shared" si="53"/>
        <v/>
      </c>
      <c r="V369" s="26"/>
      <c r="W369" s="26" t="str">
        <f t="shared" si="54"/>
        <v/>
      </c>
      <c r="X369" s="26" t="str">
        <f t="shared" si="55"/>
        <v/>
      </c>
      <c r="Y369" s="26" t="str">
        <f t="shared" si="56"/>
        <v/>
      </c>
      <c r="Z369" s="26" t="str">
        <f t="shared" si="57"/>
        <v/>
      </c>
      <c r="AA369" s="26" t="str">
        <f t="shared" si="58"/>
        <v/>
      </c>
      <c r="AB369" s="5" t="str">
        <f t="shared" si="59"/>
        <v/>
      </c>
    </row>
    <row r="370" spans="1:28" ht="12" customHeight="1">
      <c r="A370" s="22">
        <v>378</v>
      </c>
      <c r="B370" s="30"/>
      <c r="C370" s="30"/>
      <c r="D370" s="29"/>
      <c r="E370" s="29"/>
      <c r="F370" s="29"/>
      <c r="G370" s="29"/>
      <c r="H370" s="29"/>
      <c r="I370" s="25" t="str">
        <f t="shared" si="50"/>
        <v/>
      </c>
      <c r="J370" s="29"/>
      <c r="K370" s="25" t="str">
        <f t="shared" si="51"/>
        <v/>
      </c>
      <c r="L370" s="26" t="str">
        <f t="shared" si="52"/>
        <v/>
      </c>
      <c r="M370" s="29"/>
      <c r="N370" s="29"/>
      <c r="O370" s="29"/>
      <c r="P370" s="29"/>
      <c r="Q370" s="29"/>
      <c r="R370" s="29"/>
      <c r="S370" s="29"/>
      <c r="T370" s="29"/>
      <c r="U370" s="26" t="str">
        <f t="shared" si="53"/>
        <v/>
      </c>
      <c r="V370" s="26"/>
      <c r="W370" s="26" t="str">
        <f t="shared" si="54"/>
        <v/>
      </c>
      <c r="X370" s="26" t="str">
        <f t="shared" si="55"/>
        <v/>
      </c>
      <c r="Y370" s="26" t="str">
        <f t="shared" si="56"/>
        <v/>
      </c>
      <c r="Z370" s="26" t="str">
        <f t="shared" si="57"/>
        <v/>
      </c>
      <c r="AA370" s="26" t="str">
        <f t="shared" si="58"/>
        <v/>
      </c>
      <c r="AB370" s="5" t="str">
        <f t="shared" si="59"/>
        <v/>
      </c>
    </row>
    <row r="371" spans="1:28" ht="12" customHeight="1">
      <c r="A371" s="22">
        <v>379</v>
      </c>
      <c r="B371" s="30"/>
      <c r="C371" s="30"/>
      <c r="D371" s="29"/>
      <c r="E371" s="29"/>
      <c r="F371" s="29"/>
      <c r="G371" s="29"/>
      <c r="H371" s="29"/>
      <c r="I371" s="25" t="str">
        <f t="shared" si="50"/>
        <v/>
      </c>
      <c r="J371" s="29"/>
      <c r="K371" s="25" t="str">
        <f t="shared" si="51"/>
        <v/>
      </c>
      <c r="L371" s="26" t="str">
        <f t="shared" si="52"/>
        <v/>
      </c>
      <c r="M371" s="29"/>
      <c r="N371" s="29"/>
      <c r="O371" s="29"/>
      <c r="P371" s="29"/>
      <c r="Q371" s="29"/>
      <c r="R371" s="29"/>
      <c r="S371" s="29"/>
      <c r="T371" s="29"/>
      <c r="U371" s="26" t="str">
        <f t="shared" si="53"/>
        <v/>
      </c>
      <c r="V371" s="26"/>
      <c r="W371" s="26" t="str">
        <f t="shared" si="54"/>
        <v/>
      </c>
      <c r="X371" s="26" t="str">
        <f t="shared" si="55"/>
        <v/>
      </c>
      <c r="Y371" s="26" t="str">
        <f t="shared" si="56"/>
        <v/>
      </c>
      <c r="Z371" s="26" t="str">
        <f t="shared" si="57"/>
        <v/>
      </c>
      <c r="AA371" s="26" t="str">
        <f t="shared" si="58"/>
        <v/>
      </c>
      <c r="AB371" s="5" t="str">
        <f t="shared" si="59"/>
        <v/>
      </c>
    </row>
    <row r="372" spans="1:28" ht="12" customHeight="1">
      <c r="A372" s="22">
        <v>380</v>
      </c>
      <c r="B372" s="30"/>
      <c r="C372" s="30"/>
      <c r="D372" s="29"/>
      <c r="E372" s="29"/>
      <c r="F372" s="29"/>
      <c r="G372" s="29"/>
      <c r="H372" s="29"/>
      <c r="I372" s="25" t="str">
        <f t="shared" si="50"/>
        <v/>
      </c>
      <c r="J372" s="29"/>
      <c r="K372" s="25" t="str">
        <f t="shared" si="51"/>
        <v/>
      </c>
      <c r="L372" s="26" t="str">
        <f t="shared" si="52"/>
        <v/>
      </c>
      <c r="M372" s="29"/>
      <c r="N372" s="29"/>
      <c r="O372" s="29"/>
      <c r="P372" s="29"/>
      <c r="Q372" s="29"/>
      <c r="R372" s="29"/>
      <c r="S372" s="29"/>
      <c r="T372" s="29"/>
      <c r="U372" s="26" t="str">
        <f t="shared" si="53"/>
        <v/>
      </c>
      <c r="V372" s="26"/>
      <c r="W372" s="26" t="str">
        <f t="shared" si="54"/>
        <v/>
      </c>
      <c r="X372" s="26" t="str">
        <f t="shared" si="55"/>
        <v/>
      </c>
      <c r="Y372" s="26" t="str">
        <f t="shared" si="56"/>
        <v/>
      </c>
      <c r="Z372" s="26" t="str">
        <f t="shared" si="57"/>
        <v/>
      </c>
      <c r="AA372" s="26" t="str">
        <f t="shared" si="58"/>
        <v/>
      </c>
      <c r="AB372" s="5" t="str">
        <f t="shared" si="59"/>
        <v/>
      </c>
    </row>
    <row r="373" spans="1:28" ht="12" customHeight="1">
      <c r="A373" s="22">
        <v>381</v>
      </c>
      <c r="B373" s="30"/>
      <c r="C373" s="30"/>
      <c r="D373" s="29"/>
      <c r="E373" s="29"/>
      <c r="F373" s="29"/>
      <c r="G373" s="29"/>
      <c r="H373" s="29"/>
      <c r="I373" s="25" t="str">
        <f t="shared" si="50"/>
        <v/>
      </c>
      <c r="J373" s="29"/>
      <c r="K373" s="25" t="str">
        <f t="shared" si="51"/>
        <v/>
      </c>
      <c r="L373" s="26" t="str">
        <f t="shared" si="52"/>
        <v/>
      </c>
      <c r="M373" s="29"/>
      <c r="N373" s="29"/>
      <c r="O373" s="29"/>
      <c r="P373" s="29"/>
      <c r="Q373" s="29"/>
      <c r="R373" s="29"/>
      <c r="S373" s="29"/>
      <c r="T373" s="29"/>
      <c r="U373" s="26" t="str">
        <f t="shared" si="53"/>
        <v/>
      </c>
      <c r="V373" s="26"/>
      <c r="W373" s="26" t="str">
        <f t="shared" si="54"/>
        <v/>
      </c>
      <c r="X373" s="26" t="str">
        <f t="shared" si="55"/>
        <v/>
      </c>
      <c r="Y373" s="26" t="str">
        <f t="shared" si="56"/>
        <v/>
      </c>
      <c r="Z373" s="26" t="str">
        <f t="shared" si="57"/>
        <v/>
      </c>
      <c r="AA373" s="26" t="str">
        <f t="shared" si="58"/>
        <v/>
      </c>
      <c r="AB373" s="5" t="str">
        <f t="shared" si="59"/>
        <v/>
      </c>
    </row>
    <row r="374" spans="1:28" ht="12" customHeight="1">
      <c r="A374" s="22">
        <v>382</v>
      </c>
      <c r="B374" s="30"/>
      <c r="C374" s="30"/>
      <c r="D374" s="29"/>
      <c r="E374" s="29"/>
      <c r="F374" s="29"/>
      <c r="G374" s="29"/>
      <c r="H374" s="29"/>
      <c r="I374" s="25" t="str">
        <f t="shared" si="50"/>
        <v/>
      </c>
      <c r="J374" s="29"/>
      <c r="K374" s="25" t="str">
        <f t="shared" si="51"/>
        <v/>
      </c>
      <c r="L374" s="26" t="str">
        <f t="shared" si="52"/>
        <v/>
      </c>
      <c r="M374" s="29"/>
      <c r="N374" s="29"/>
      <c r="O374" s="29"/>
      <c r="P374" s="29"/>
      <c r="Q374" s="29"/>
      <c r="R374" s="29"/>
      <c r="S374" s="29"/>
      <c r="T374" s="29"/>
      <c r="U374" s="26" t="str">
        <f t="shared" si="53"/>
        <v/>
      </c>
      <c r="V374" s="26"/>
      <c r="W374" s="26" t="str">
        <f t="shared" si="54"/>
        <v/>
      </c>
      <c r="X374" s="26" t="str">
        <f t="shared" si="55"/>
        <v/>
      </c>
      <c r="Y374" s="26" t="str">
        <f t="shared" si="56"/>
        <v/>
      </c>
      <c r="Z374" s="26" t="str">
        <f t="shared" si="57"/>
        <v/>
      </c>
      <c r="AA374" s="26" t="str">
        <f t="shared" si="58"/>
        <v/>
      </c>
      <c r="AB374" s="5" t="str">
        <f t="shared" si="59"/>
        <v/>
      </c>
    </row>
    <row r="375" spans="1:28" ht="12" customHeight="1">
      <c r="A375" s="22">
        <v>383</v>
      </c>
      <c r="B375" s="30"/>
      <c r="C375" s="30"/>
      <c r="D375" s="29"/>
      <c r="E375" s="29"/>
      <c r="F375" s="29"/>
      <c r="G375" s="29"/>
      <c r="H375" s="29"/>
      <c r="I375" s="25" t="str">
        <f t="shared" si="50"/>
        <v/>
      </c>
      <c r="J375" s="29"/>
      <c r="K375" s="25" t="str">
        <f t="shared" si="51"/>
        <v/>
      </c>
      <c r="L375" s="26" t="str">
        <f t="shared" si="52"/>
        <v/>
      </c>
      <c r="M375" s="29"/>
      <c r="N375" s="29"/>
      <c r="O375" s="29"/>
      <c r="P375" s="29"/>
      <c r="Q375" s="29"/>
      <c r="R375" s="29"/>
      <c r="S375" s="29"/>
      <c r="T375" s="29"/>
      <c r="U375" s="26" t="str">
        <f t="shared" si="53"/>
        <v/>
      </c>
      <c r="V375" s="26"/>
      <c r="W375" s="26" t="str">
        <f t="shared" si="54"/>
        <v/>
      </c>
      <c r="X375" s="26" t="str">
        <f t="shared" si="55"/>
        <v/>
      </c>
      <c r="Y375" s="26" t="str">
        <f t="shared" si="56"/>
        <v/>
      </c>
      <c r="Z375" s="26" t="str">
        <f t="shared" si="57"/>
        <v/>
      </c>
      <c r="AA375" s="26" t="str">
        <f t="shared" si="58"/>
        <v/>
      </c>
      <c r="AB375" s="5" t="str">
        <f t="shared" si="59"/>
        <v/>
      </c>
    </row>
    <row r="376" spans="1:28" ht="12" customHeight="1">
      <c r="A376" s="22">
        <v>384</v>
      </c>
      <c r="B376" s="30"/>
      <c r="C376" s="30"/>
      <c r="D376" s="29"/>
      <c r="E376" s="29"/>
      <c r="F376" s="29"/>
      <c r="G376" s="29"/>
      <c r="H376" s="29"/>
      <c r="I376" s="25" t="str">
        <f t="shared" si="50"/>
        <v/>
      </c>
      <c r="J376" s="29"/>
      <c r="K376" s="25" t="str">
        <f t="shared" si="51"/>
        <v/>
      </c>
      <c r="L376" s="26" t="str">
        <f t="shared" si="52"/>
        <v/>
      </c>
      <c r="M376" s="29"/>
      <c r="N376" s="29"/>
      <c r="O376" s="29"/>
      <c r="P376" s="29"/>
      <c r="Q376" s="29"/>
      <c r="R376" s="29"/>
      <c r="S376" s="29"/>
      <c r="T376" s="29"/>
      <c r="U376" s="26" t="str">
        <f t="shared" si="53"/>
        <v/>
      </c>
      <c r="V376" s="26"/>
      <c r="W376" s="26" t="str">
        <f t="shared" si="54"/>
        <v/>
      </c>
      <c r="X376" s="26" t="str">
        <f t="shared" si="55"/>
        <v/>
      </c>
      <c r="Y376" s="26" t="str">
        <f t="shared" si="56"/>
        <v/>
      </c>
      <c r="Z376" s="26" t="str">
        <f t="shared" si="57"/>
        <v/>
      </c>
      <c r="AA376" s="26" t="str">
        <f t="shared" si="58"/>
        <v/>
      </c>
      <c r="AB376" s="5" t="str">
        <f t="shared" si="59"/>
        <v/>
      </c>
    </row>
    <row r="377" spans="1:28" ht="12" customHeight="1">
      <c r="A377" s="22">
        <v>385</v>
      </c>
      <c r="B377" s="30"/>
      <c r="C377" s="30"/>
      <c r="D377" s="29"/>
      <c r="E377" s="29"/>
      <c r="F377" s="29"/>
      <c r="G377" s="29"/>
      <c r="H377" s="29"/>
      <c r="I377" s="25" t="str">
        <f t="shared" si="50"/>
        <v/>
      </c>
      <c r="J377" s="29"/>
      <c r="K377" s="25" t="str">
        <f t="shared" si="51"/>
        <v/>
      </c>
      <c r="L377" s="26" t="str">
        <f t="shared" si="52"/>
        <v/>
      </c>
      <c r="M377" s="29"/>
      <c r="N377" s="29"/>
      <c r="O377" s="29"/>
      <c r="P377" s="29"/>
      <c r="Q377" s="29"/>
      <c r="R377" s="29"/>
      <c r="S377" s="29"/>
      <c r="T377" s="29"/>
      <c r="U377" s="26" t="str">
        <f t="shared" si="53"/>
        <v/>
      </c>
      <c r="V377" s="26"/>
      <c r="W377" s="26" t="str">
        <f t="shared" si="54"/>
        <v/>
      </c>
      <c r="X377" s="26" t="str">
        <f t="shared" si="55"/>
        <v/>
      </c>
      <c r="Y377" s="26" t="str">
        <f t="shared" si="56"/>
        <v/>
      </c>
      <c r="Z377" s="26" t="str">
        <f t="shared" si="57"/>
        <v/>
      </c>
      <c r="AA377" s="26" t="str">
        <f t="shared" si="58"/>
        <v/>
      </c>
      <c r="AB377" s="5" t="str">
        <f t="shared" si="59"/>
        <v/>
      </c>
    </row>
    <row r="378" spans="1:28" ht="12" customHeight="1">
      <c r="A378" s="22">
        <v>386</v>
      </c>
      <c r="B378" s="30"/>
      <c r="C378" s="30"/>
      <c r="D378" s="29"/>
      <c r="E378" s="29"/>
      <c r="F378" s="29"/>
      <c r="G378" s="29"/>
      <c r="H378" s="29"/>
      <c r="I378" s="25" t="str">
        <f t="shared" si="50"/>
        <v/>
      </c>
      <c r="J378" s="29"/>
      <c r="K378" s="25" t="str">
        <f t="shared" si="51"/>
        <v/>
      </c>
      <c r="L378" s="26" t="str">
        <f t="shared" si="52"/>
        <v/>
      </c>
      <c r="M378" s="29"/>
      <c r="N378" s="29"/>
      <c r="O378" s="29"/>
      <c r="P378" s="29"/>
      <c r="Q378" s="29"/>
      <c r="R378" s="29"/>
      <c r="S378" s="29"/>
      <c r="T378" s="29"/>
      <c r="U378" s="26" t="str">
        <f t="shared" si="53"/>
        <v/>
      </c>
      <c r="V378" s="26"/>
      <c r="W378" s="26" t="str">
        <f t="shared" si="54"/>
        <v/>
      </c>
      <c r="X378" s="26" t="str">
        <f t="shared" si="55"/>
        <v/>
      </c>
      <c r="Y378" s="26" t="str">
        <f t="shared" si="56"/>
        <v/>
      </c>
      <c r="Z378" s="26" t="str">
        <f t="shared" si="57"/>
        <v/>
      </c>
      <c r="AA378" s="26" t="str">
        <f t="shared" si="58"/>
        <v/>
      </c>
      <c r="AB378" s="5" t="str">
        <f t="shared" si="59"/>
        <v/>
      </c>
    </row>
    <row r="379" spans="1:28" ht="12" customHeight="1">
      <c r="A379" s="22">
        <v>387</v>
      </c>
      <c r="B379" s="30"/>
      <c r="C379" s="30"/>
      <c r="D379" s="29"/>
      <c r="E379" s="29"/>
      <c r="F379" s="29"/>
      <c r="G379" s="29"/>
      <c r="H379" s="29"/>
      <c r="I379" s="25" t="str">
        <f t="shared" si="50"/>
        <v/>
      </c>
      <c r="J379" s="29"/>
      <c r="K379" s="25" t="str">
        <f t="shared" si="51"/>
        <v/>
      </c>
      <c r="L379" s="26" t="str">
        <f t="shared" si="52"/>
        <v/>
      </c>
      <c r="M379" s="29"/>
      <c r="N379" s="29"/>
      <c r="O379" s="29"/>
      <c r="P379" s="29"/>
      <c r="Q379" s="29"/>
      <c r="R379" s="29"/>
      <c r="S379" s="29"/>
      <c r="T379" s="29"/>
      <c r="U379" s="26" t="str">
        <f t="shared" si="53"/>
        <v/>
      </c>
      <c r="V379" s="26"/>
      <c r="W379" s="26" t="str">
        <f t="shared" si="54"/>
        <v/>
      </c>
      <c r="X379" s="26" t="str">
        <f t="shared" si="55"/>
        <v/>
      </c>
      <c r="Y379" s="26" t="str">
        <f t="shared" si="56"/>
        <v/>
      </c>
      <c r="Z379" s="26" t="str">
        <f t="shared" si="57"/>
        <v/>
      </c>
      <c r="AA379" s="26" t="str">
        <f t="shared" si="58"/>
        <v/>
      </c>
      <c r="AB379" s="5" t="str">
        <f t="shared" si="59"/>
        <v/>
      </c>
    </row>
    <row r="380" spans="1:28" ht="12" customHeight="1">
      <c r="A380" s="22">
        <v>388</v>
      </c>
      <c r="B380" s="30"/>
      <c r="C380" s="30"/>
      <c r="D380" s="29"/>
      <c r="E380" s="29"/>
      <c r="F380" s="29"/>
      <c r="G380" s="29"/>
      <c r="H380" s="29"/>
      <c r="I380" s="25" t="str">
        <f t="shared" si="50"/>
        <v/>
      </c>
      <c r="J380" s="29"/>
      <c r="K380" s="25" t="str">
        <f t="shared" si="51"/>
        <v/>
      </c>
      <c r="L380" s="26" t="str">
        <f t="shared" si="52"/>
        <v/>
      </c>
      <c r="M380" s="29"/>
      <c r="N380" s="29"/>
      <c r="O380" s="29"/>
      <c r="P380" s="29"/>
      <c r="Q380" s="29"/>
      <c r="R380" s="29"/>
      <c r="S380" s="29"/>
      <c r="T380" s="29"/>
      <c r="U380" s="26" t="str">
        <f t="shared" si="53"/>
        <v/>
      </c>
      <c r="V380" s="26"/>
      <c r="W380" s="26" t="str">
        <f t="shared" si="54"/>
        <v/>
      </c>
      <c r="X380" s="26" t="str">
        <f t="shared" si="55"/>
        <v/>
      </c>
      <c r="Y380" s="26" t="str">
        <f t="shared" si="56"/>
        <v/>
      </c>
      <c r="Z380" s="26" t="str">
        <f t="shared" si="57"/>
        <v/>
      </c>
      <c r="AA380" s="26" t="str">
        <f t="shared" si="58"/>
        <v/>
      </c>
      <c r="AB380" s="5" t="str">
        <f t="shared" si="59"/>
        <v/>
      </c>
    </row>
    <row r="381" spans="1:28" ht="12" customHeight="1">
      <c r="A381" s="22">
        <v>389</v>
      </c>
      <c r="B381" s="30"/>
      <c r="C381" s="30"/>
      <c r="D381" s="29"/>
      <c r="E381" s="29"/>
      <c r="F381" s="29"/>
      <c r="G381" s="29"/>
      <c r="H381" s="29"/>
      <c r="I381" s="25" t="str">
        <f t="shared" si="50"/>
        <v/>
      </c>
      <c r="J381" s="29"/>
      <c r="K381" s="25" t="str">
        <f t="shared" si="51"/>
        <v/>
      </c>
      <c r="L381" s="26" t="str">
        <f t="shared" si="52"/>
        <v/>
      </c>
      <c r="M381" s="29"/>
      <c r="N381" s="29"/>
      <c r="O381" s="29"/>
      <c r="P381" s="29"/>
      <c r="Q381" s="29"/>
      <c r="R381" s="29"/>
      <c r="S381" s="29"/>
      <c r="T381" s="29"/>
      <c r="U381" s="26" t="str">
        <f t="shared" si="53"/>
        <v/>
      </c>
      <c r="V381" s="26"/>
      <c r="W381" s="26" t="str">
        <f t="shared" si="54"/>
        <v/>
      </c>
      <c r="X381" s="26" t="str">
        <f t="shared" si="55"/>
        <v/>
      </c>
      <c r="Y381" s="26" t="str">
        <f t="shared" si="56"/>
        <v/>
      </c>
      <c r="Z381" s="26" t="str">
        <f t="shared" si="57"/>
        <v/>
      </c>
      <c r="AA381" s="26" t="str">
        <f t="shared" si="58"/>
        <v/>
      </c>
      <c r="AB381" s="5" t="str">
        <f t="shared" si="59"/>
        <v/>
      </c>
    </row>
    <row r="382" spans="1:28" ht="12" customHeight="1">
      <c r="A382" s="22">
        <v>390</v>
      </c>
      <c r="B382" s="30"/>
      <c r="C382" s="30"/>
      <c r="D382" s="29"/>
      <c r="E382" s="29"/>
      <c r="F382" s="29"/>
      <c r="G382" s="29"/>
      <c r="H382" s="29"/>
      <c r="I382" s="25" t="str">
        <f t="shared" si="50"/>
        <v/>
      </c>
      <c r="J382" s="29"/>
      <c r="K382" s="25" t="str">
        <f t="shared" si="51"/>
        <v/>
      </c>
      <c r="L382" s="26" t="str">
        <f t="shared" si="52"/>
        <v/>
      </c>
      <c r="M382" s="29"/>
      <c r="N382" s="29"/>
      <c r="O382" s="29"/>
      <c r="P382" s="29"/>
      <c r="Q382" s="29"/>
      <c r="R382" s="29"/>
      <c r="S382" s="29"/>
      <c r="T382" s="29"/>
      <c r="U382" s="26" t="str">
        <f t="shared" si="53"/>
        <v/>
      </c>
      <c r="V382" s="26"/>
      <c r="W382" s="26" t="str">
        <f t="shared" si="54"/>
        <v/>
      </c>
      <c r="X382" s="26" t="str">
        <f t="shared" si="55"/>
        <v/>
      </c>
      <c r="Y382" s="26" t="str">
        <f t="shared" si="56"/>
        <v/>
      </c>
      <c r="Z382" s="26" t="str">
        <f t="shared" si="57"/>
        <v/>
      </c>
      <c r="AA382" s="26" t="str">
        <f t="shared" si="58"/>
        <v/>
      </c>
      <c r="AB382" s="5" t="str">
        <f t="shared" si="59"/>
        <v/>
      </c>
    </row>
    <row r="383" spans="1:28" ht="12" customHeight="1">
      <c r="A383" s="22">
        <v>391</v>
      </c>
      <c r="B383" s="30"/>
      <c r="C383" s="30"/>
      <c r="D383" s="29"/>
      <c r="E383" s="29"/>
      <c r="F383" s="29"/>
      <c r="G383" s="29"/>
      <c r="H383" s="29"/>
      <c r="I383" s="25" t="str">
        <f t="shared" si="50"/>
        <v/>
      </c>
      <c r="J383" s="29"/>
      <c r="K383" s="25" t="str">
        <f t="shared" si="51"/>
        <v/>
      </c>
      <c r="L383" s="26" t="str">
        <f t="shared" si="52"/>
        <v/>
      </c>
      <c r="M383" s="29"/>
      <c r="N383" s="29"/>
      <c r="O383" s="29"/>
      <c r="P383" s="29"/>
      <c r="Q383" s="29"/>
      <c r="R383" s="29"/>
      <c r="S383" s="29"/>
      <c r="T383" s="29"/>
      <c r="U383" s="26" t="str">
        <f t="shared" si="53"/>
        <v/>
      </c>
      <c r="V383" s="26"/>
      <c r="W383" s="26" t="str">
        <f t="shared" si="54"/>
        <v/>
      </c>
      <c r="X383" s="26" t="str">
        <f t="shared" si="55"/>
        <v/>
      </c>
      <c r="Y383" s="26" t="str">
        <f t="shared" si="56"/>
        <v/>
      </c>
      <c r="Z383" s="26" t="str">
        <f t="shared" si="57"/>
        <v/>
      </c>
      <c r="AA383" s="26" t="str">
        <f t="shared" si="58"/>
        <v/>
      </c>
      <c r="AB383" s="5" t="str">
        <f t="shared" si="59"/>
        <v/>
      </c>
    </row>
    <row r="384" spans="1:28" ht="12" customHeight="1">
      <c r="A384" s="22">
        <v>392</v>
      </c>
      <c r="B384" s="30"/>
      <c r="C384" s="30"/>
      <c r="D384" s="29"/>
      <c r="E384" s="29"/>
      <c r="F384" s="29"/>
      <c r="G384" s="29"/>
      <c r="H384" s="29"/>
      <c r="I384" s="25" t="str">
        <f t="shared" si="50"/>
        <v/>
      </c>
      <c r="J384" s="29"/>
      <c r="K384" s="25" t="str">
        <f t="shared" si="51"/>
        <v/>
      </c>
      <c r="L384" s="26" t="str">
        <f t="shared" si="52"/>
        <v/>
      </c>
      <c r="M384" s="29"/>
      <c r="N384" s="29"/>
      <c r="O384" s="29"/>
      <c r="P384" s="29"/>
      <c r="Q384" s="29"/>
      <c r="R384" s="29"/>
      <c r="S384" s="29"/>
      <c r="T384" s="29"/>
      <c r="U384" s="26" t="str">
        <f t="shared" si="53"/>
        <v/>
      </c>
      <c r="V384" s="26"/>
      <c r="W384" s="26" t="str">
        <f t="shared" si="54"/>
        <v/>
      </c>
      <c r="X384" s="26" t="str">
        <f t="shared" si="55"/>
        <v/>
      </c>
      <c r="Y384" s="26" t="str">
        <f t="shared" si="56"/>
        <v/>
      </c>
      <c r="Z384" s="26" t="str">
        <f t="shared" si="57"/>
        <v/>
      </c>
      <c r="AA384" s="26" t="str">
        <f t="shared" si="58"/>
        <v/>
      </c>
      <c r="AB384" s="5" t="str">
        <f t="shared" si="59"/>
        <v/>
      </c>
    </row>
    <row r="385" spans="1:28" ht="12" customHeight="1">
      <c r="A385" s="22">
        <v>393</v>
      </c>
      <c r="B385" s="30"/>
      <c r="C385" s="30"/>
      <c r="D385" s="29"/>
      <c r="E385" s="29"/>
      <c r="F385" s="29"/>
      <c r="G385" s="29"/>
      <c r="H385" s="29"/>
      <c r="I385" s="25" t="str">
        <f t="shared" si="50"/>
        <v/>
      </c>
      <c r="J385" s="29"/>
      <c r="K385" s="25" t="str">
        <f t="shared" si="51"/>
        <v/>
      </c>
      <c r="L385" s="26" t="str">
        <f t="shared" si="52"/>
        <v/>
      </c>
      <c r="M385" s="29"/>
      <c r="N385" s="29"/>
      <c r="O385" s="29"/>
      <c r="P385" s="29"/>
      <c r="Q385" s="29"/>
      <c r="R385" s="29"/>
      <c r="S385" s="29"/>
      <c r="T385" s="29"/>
      <c r="U385" s="26" t="str">
        <f t="shared" si="53"/>
        <v/>
      </c>
      <c r="V385" s="26"/>
      <c r="W385" s="26" t="str">
        <f t="shared" si="54"/>
        <v/>
      </c>
      <c r="X385" s="26" t="str">
        <f t="shared" si="55"/>
        <v/>
      </c>
      <c r="Y385" s="26" t="str">
        <f t="shared" si="56"/>
        <v/>
      </c>
      <c r="Z385" s="26" t="str">
        <f t="shared" si="57"/>
        <v/>
      </c>
      <c r="AA385" s="26" t="str">
        <f t="shared" si="58"/>
        <v/>
      </c>
      <c r="AB385" s="5" t="str">
        <f t="shared" si="59"/>
        <v/>
      </c>
    </row>
    <row r="386" spans="1:28" ht="12" customHeight="1">
      <c r="A386" s="22">
        <v>394</v>
      </c>
      <c r="B386" s="30"/>
      <c r="C386" s="30"/>
      <c r="D386" s="29"/>
      <c r="E386" s="29"/>
      <c r="F386" s="29"/>
      <c r="G386" s="29"/>
      <c r="H386" s="29"/>
      <c r="I386" s="25" t="str">
        <f t="shared" si="50"/>
        <v/>
      </c>
      <c r="J386" s="29"/>
      <c r="K386" s="25" t="str">
        <f t="shared" si="51"/>
        <v/>
      </c>
      <c r="L386" s="26" t="str">
        <f t="shared" si="52"/>
        <v/>
      </c>
      <c r="M386" s="29"/>
      <c r="N386" s="29"/>
      <c r="O386" s="29"/>
      <c r="P386" s="29"/>
      <c r="Q386" s="29"/>
      <c r="R386" s="29"/>
      <c r="S386" s="29"/>
      <c r="T386" s="29"/>
      <c r="U386" s="26" t="str">
        <f t="shared" si="53"/>
        <v/>
      </c>
      <c r="V386" s="26"/>
      <c r="W386" s="26" t="str">
        <f t="shared" si="54"/>
        <v/>
      </c>
      <c r="X386" s="26" t="str">
        <f t="shared" si="55"/>
        <v/>
      </c>
      <c r="Y386" s="26" t="str">
        <f t="shared" si="56"/>
        <v/>
      </c>
      <c r="Z386" s="26" t="str">
        <f t="shared" si="57"/>
        <v/>
      </c>
      <c r="AA386" s="26" t="str">
        <f t="shared" si="58"/>
        <v/>
      </c>
      <c r="AB386" s="5" t="str">
        <f t="shared" si="59"/>
        <v/>
      </c>
    </row>
    <row r="387" spans="1:28" ht="12" customHeight="1">
      <c r="A387" s="22">
        <v>395</v>
      </c>
      <c r="B387" s="30"/>
      <c r="C387" s="30"/>
      <c r="D387" s="29"/>
      <c r="E387" s="29"/>
      <c r="F387" s="29"/>
      <c r="G387" s="29"/>
      <c r="H387" s="29"/>
      <c r="I387" s="25" t="str">
        <f t="shared" si="50"/>
        <v/>
      </c>
      <c r="J387" s="29"/>
      <c r="K387" s="25" t="str">
        <f t="shared" si="51"/>
        <v/>
      </c>
      <c r="L387" s="26" t="str">
        <f t="shared" si="52"/>
        <v/>
      </c>
      <c r="M387" s="29"/>
      <c r="N387" s="29"/>
      <c r="O387" s="29"/>
      <c r="P387" s="29"/>
      <c r="Q387" s="29"/>
      <c r="R387" s="29"/>
      <c r="S387" s="29"/>
      <c r="T387" s="29"/>
      <c r="U387" s="26" t="str">
        <f t="shared" si="53"/>
        <v/>
      </c>
      <c r="V387" s="26"/>
      <c r="W387" s="26" t="str">
        <f t="shared" si="54"/>
        <v/>
      </c>
      <c r="X387" s="26" t="str">
        <f t="shared" si="55"/>
        <v/>
      </c>
      <c r="Y387" s="26" t="str">
        <f t="shared" si="56"/>
        <v/>
      </c>
      <c r="Z387" s="26" t="str">
        <f t="shared" si="57"/>
        <v/>
      </c>
      <c r="AA387" s="26" t="str">
        <f t="shared" si="58"/>
        <v/>
      </c>
      <c r="AB387" s="5" t="str">
        <f t="shared" si="59"/>
        <v/>
      </c>
    </row>
    <row r="388" spans="1:28" ht="12" customHeight="1">
      <c r="A388" s="22">
        <v>396</v>
      </c>
      <c r="B388" s="30"/>
      <c r="C388" s="30"/>
      <c r="D388" s="29"/>
      <c r="E388" s="29"/>
      <c r="F388" s="29"/>
      <c r="G388" s="29"/>
      <c r="H388" s="29"/>
      <c r="I388" s="25" t="str">
        <f t="shared" si="50"/>
        <v/>
      </c>
      <c r="J388" s="29"/>
      <c r="K388" s="25" t="str">
        <f t="shared" si="51"/>
        <v/>
      </c>
      <c r="L388" s="26" t="str">
        <f t="shared" si="52"/>
        <v/>
      </c>
      <c r="M388" s="29"/>
      <c r="N388" s="29"/>
      <c r="O388" s="29"/>
      <c r="P388" s="29"/>
      <c r="Q388" s="29"/>
      <c r="R388" s="29"/>
      <c r="S388" s="29"/>
      <c r="T388" s="29"/>
      <c r="U388" s="26" t="str">
        <f t="shared" si="53"/>
        <v/>
      </c>
      <c r="V388" s="26"/>
      <c r="W388" s="26" t="str">
        <f t="shared" si="54"/>
        <v/>
      </c>
      <c r="X388" s="26" t="str">
        <f t="shared" si="55"/>
        <v/>
      </c>
      <c r="Y388" s="26" t="str">
        <f t="shared" si="56"/>
        <v/>
      </c>
      <c r="Z388" s="26" t="str">
        <f t="shared" si="57"/>
        <v/>
      </c>
      <c r="AA388" s="26" t="str">
        <f t="shared" si="58"/>
        <v/>
      </c>
      <c r="AB388" s="5" t="str">
        <f t="shared" si="59"/>
        <v/>
      </c>
    </row>
    <row r="389" spans="1:28" ht="12" customHeight="1">
      <c r="A389" s="22">
        <v>397</v>
      </c>
      <c r="B389" s="30"/>
      <c r="C389" s="30"/>
      <c r="D389" s="29"/>
      <c r="E389" s="29"/>
      <c r="F389" s="29"/>
      <c r="G389" s="29"/>
      <c r="H389" s="29"/>
      <c r="I389" s="25" t="str">
        <f t="shared" si="50"/>
        <v/>
      </c>
      <c r="J389" s="29"/>
      <c r="K389" s="25" t="str">
        <f t="shared" si="51"/>
        <v/>
      </c>
      <c r="L389" s="26" t="str">
        <f t="shared" si="52"/>
        <v/>
      </c>
      <c r="M389" s="29"/>
      <c r="N389" s="29"/>
      <c r="O389" s="29"/>
      <c r="P389" s="29"/>
      <c r="Q389" s="29"/>
      <c r="R389" s="29"/>
      <c r="S389" s="29"/>
      <c r="T389" s="29"/>
      <c r="U389" s="26" t="str">
        <f t="shared" si="53"/>
        <v/>
      </c>
      <c r="V389" s="26"/>
      <c r="W389" s="26" t="str">
        <f t="shared" si="54"/>
        <v/>
      </c>
      <c r="X389" s="26" t="str">
        <f t="shared" si="55"/>
        <v/>
      </c>
      <c r="Y389" s="26" t="str">
        <f t="shared" si="56"/>
        <v/>
      </c>
      <c r="Z389" s="26" t="str">
        <f t="shared" si="57"/>
        <v/>
      </c>
      <c r="AA389" s="26" t="str">
        <f t="shared" si="58"/>
        <v/>
      </c>
      <c r="AB389" s="5" t="str">
        <f t="shared" si="59"/>
        <v/>
      </c>
    </row>
    <row r="390" spans="1:28" ht="12" customHeight="1">
      <c r="A390" s="22">
        <v>398</v>
      </c>
      <c r="B390" s="30"/>
      <c r="C390" s="30"/>
      <c r="D390" s="29"/>
      <c r="E390" s="29"/>
      <c r="F390" s="29"/>
      <c r="G390" s="29"/>
      <c r="H390" s="29"/>
      <c r="I390" s="25" t="str">
        <f t="shared" ref="I390:I453" si="60">IFERROR(IF(H390="Unlikely",1,IF(H390="Possible",2,IF(H390="Likely",3,IF(H390="Almost Certain",4,IF(H390="Certain",5,""))))),"")</f>
        <v/>
      </c>
      <c r="J390" s="29"/>
      <c r="K390" s="25" t="str">
        <f t="shared" ref="K390:K453" si="61">IFERROR(IF(J390="Negligible",1,IF(J390="Minor",2,IF(J390="Moderate",3,IF(J390="Major",4,IF(J390="Critical",5,""))))),"")</f>
        <v/>
      </c>
      <c r="L390" s="26" t="str">
        <f t="shared" ref="L390:L453" si="62">IF(OR(I390="",K390=""),"",I390*K390)</f>
        <v/>
      </c>
      <c r="M390" s="29"/>
      <c r="N390" s="29"/>
      <c r="O390" s="29"/>
      <c r="P390" s="29"/>
      <c r="Q390" s="29"/>
      <c r="R390" s="29"/>
      <c r="S390" s="29"/>
      <c r="T390" s="29"/>
      <c r="U390" s="26" t="str">
        <f t="shared" ref="U390:U453" si="63">IF(L390="","",IF(L390&lt;=4,"Low",IF(L390&lt;=9,"Medium",IF(L390&lt;=15,"High","Critical"))))</f>
        <v/>
      </c>
      <c r="V390" s="26"/>
      <c r="W390" s="26" t="str">
        <f t="shared" ref="W390:W453" si="64">IF(I390="","",MAX(1,I390-(IF(V390="Limited",1,IF(V390="Partial",2,IF(V390="Substantial",3,IF(V390="Highly Effective",4,0)))))))</f>
        <v/>
      </c>
      <c r="X390" s="26" t="str">
        <f t="shared" ref="X390:X453" si="65">IF(K390="","",MAX(1,K390-ROUNDDOWN((IF(V390="Limited",1,IF(V390="Partial",2,IF(V390="Substantial",3,IF(V390="Highly Effective",4,0)))))/2,0)))</f>
        <v/>
      </c>
      <c r="Y390" s="26" t="str">
        <f t="shared" ref="Y390:Y453" si="66">IF(OR(W390="",X390=""),"",W390*X390)</f>
        <v/>
      </c>
      <c r="Z390" s="26" t="str">
        <f t="shared" ref="Z390:Z453" si="67">IF(Y390="","",IF(Y390&lt;=4,"Low",IF(Y390&lt;=9,"Medium",IF(Y390&lt;=15,"High","Critical"))))</f>
        <v/>
      </c>
      <c r="AA390" s="26" t="str">
        <f t="shared" ref="AA390:AA453" si="68">IF(OR(L390="",Y390=""),"",IF(Y390&lt;L390,"Reduced by "&amp;(L390-Y390)&amp;" pts",IF(Y390=L390,"No Change","Increased by "&amp;(Y390-L390)&amp;" pts")))</f>
        <v/>
      </c>
      <c r="AB390" s="5" t="str">
        <f t="shared" ref="AB390:AB453" si="69">IF(Y390="","",Y390+(ROW()/10000000))</f>
        <v/>
      </c>
    </row>
    <row r="391" spans="1:28" ht="12" customHeight="1">
      <c r="A391" s="22">
        <v>399</v>
      </c>
      <c r="B391" s="30"/>
      <c r="C391" s="30"/>
      <c r="D391" s="29"/>
      <c r="E391" s="29"/>
      <c r="F391" s="29"/>
      <c r="G391" s="29"/>
      <c r="H391" s="29"/>
      <c r="I391" s="25" t="str">
        <f t="shared" si="60"/>
        <v/>
      </c>
      <c r="J391" s="29"/>
      <c r="K391" s="25" t="str">
        <f t="shared" si="61"/>
        <v/>
      </c>
      <c r="L391" s="26" t="str">
        <f t="shared" si="62"/>
        <v/>
      </c>
      <c r="M391" s="29"/>
      <c r="N391" s="29"/>
      <c r="O391" s="29"/>
      <c r="P391" s="29"/>
      <c r="Q391" s="29"/>
      <c r="R391" s="29"/>
      <c r="S391" s="29"/>
      <c r="T391" s="29"/>
      <c r="U391" s="26" t="str">
        <f t="shared" si="63"/>
        <v/>
      </c>
      <c r="V391" s="26"/>
      <c r="W391" s="26" t="str">
        <f t="shared" si="64"/>
        <v/>
      </c>
      <c r="X391" s="26" t="str">
        <f t="shared" si="65"/>
        <v/>
      </c>
      <c r="Y391" s="26" t="str">
        <f t="shared" si="66"/>
        <v/>
      </c>
      <c r="Z391" s="26" t="str">
        <f t="shared" si="67"/>
        <v/>
      </c>
      <c r="AA391" s="26" t="str">
        <f t="shared" si="68"/>
        <v/>
      </c>
      <c r="AB391" s="5" t="str">
        <f t="shared" si="69"/>
        <v/>
      </c>
    </row>
    <row r="392" spans="1:28" ht="12" customHeight="1">
      <c r="A392" s="22">
        <v>400</v>
      </c>
      <c r="B392" s="30"/>
      <c r="C392" s="30"/>
      <c r="D392" s="29"/>
      <c r="E392" s="29"/>
      <c r="F392" s="29"/>
      <c r="G392" s="29"/>
      <c r="H392" s="29"/>
      <c r="I392" s="25" t="str">
        <f t="shared" si="60"/>
        <v/>
      </c>
      <c r="J392" s="29"/>
      <c r="K392" s="25" t="str">
        <f t="shared" si="61"/>
        <v/>
      </c>
      <c r="L392" s="26" t="str">
        <f t="shared" si="62"/>
        <v/>
      </c>
      <c r="M392" s="29"/>
      <c r="N392" s="29"/>
      <c r="O392" s="29"/>
      <c r="P392" s="29"/>
      <c r="Q392" s="29"/>
      <c r="R392" s="29"/>
      <c r="S392" s="29"/>
      <c r="T392" s="29"/>
      <c r="U392" s="26" t="str">
        <f t="shared" si="63"/>
        <v/>
      </c>
      <c r="V392" s="26"/>
      <c r="W392" s="26" t="str">
        <f t="shared" si="64"/>
        <v/>
      </c>
      <c r="X392" s="26" t="str">
        <f t="shared" si="65"/>
        <v/>
      </c>
      <c r="Y392" s="26" t="str">
        <f t="shared" si="66"/>
        <v/>
      </c>
      <c r="Z392" s="26" t="str">
        <f t="shared" si="67"/>
        <v/>
      </c>
      <c r="AA392" s="26" t="str">
        <f t="shared" si="68"/>
        <v/>
      </c>
      <c r="AB392" s="5" t="str">
        <f t="shared" si="69"/>
        <v/>
      </c>
    </row>
    <row r="393" spans="1:28" ht="12" customHeight="1">
      <c r="A393" s="22">
        <v>401</v>
      </c>
      <c r="B393" s="30"/>
      <c r="C393" s="30"/>
      <c r="D393" s="29"/>
      <c r="E393" s="29"/>
      <c r="F393" s="29"/>
      <c r="G393" s="29"/>
      <c r="H393" s="29"/>
      <c r="I393" s="25" t="str">
        <f t="shared" si="60"/>
        <v/>
      </c>
      <c r="J393" s="29"/>
      <c r="K393" s="25" t="str">
        <f t="shared" si="61"/>
        <v/>
      </c>
      <c r="L393" s="26" t="str">
        <f t="shared" si="62"/>
        <v/>
      </c>
      <c r="M393" s="29"/>
      <c r="N393" s="29"/>
      <c r="O393" s="29"/>
      <c r="P393" s="29"/>
      <c r="Q393" s="29"/>
      <c r="R393" s="29"/>
      <c r="S393" s="29"/>
      <c r="T393" s="29"/>
      <c r="U393" s="26" t="str">
        <f t="shared" si="63"/>
        <v/>
      </c>
      <c r="V393" s="26"/>
      <c r="W393" s="26" t="str">
        <f t="shared" si="64"/>
        <v/>
      </c>
      <c r="X393" s="26" t="str">
        <f t="shared" si="65"/>
        <v/>
      </c>
      <c r="Y393" s="26" t="str">
        <f t="shared" si="66"/>
        <v/>
      </c>
      <c r="Z393" s="26" t="str">
        <f t="shared" si="67"/>
        <v/>
      </c>
      <c r="AA393" s="26" t="str">
        <f t="shared" si="68"/>
        <v/>
      </c>
      <c r="AB393" s="5" t="str">
        <f t="shared" si="69"/>
        <v/>
      </c>
    </row>
    <row r="394" spans="1:28" ht="12" customHeight="1">
      <c r="A394" s="22">
        <v>402</v>
      </c>
      <c r="B394" s="30"/>
      <c r="C394" s="30"/>
      <c r="D394" s="29"/>
      <c r="E394" s="29"/>
      <c r="F394" s="29"/>
      <c r="G394" s="29"/>
      <c r="H394" s="29"/>
      <c r="I394" s="25" t="str">
        <f t="shared" si="60"/>
        <v/>
      </c>
      <c r="J394" s="29"/>
      <c r="K394" s="25" t="str">
        <f t="shared" si="61"/>
        <v/>
      </c>
      <c r="L394" s="26" t="str">
        <f t="shared" si="62"/>
        <v/>
      </c>
      <c r="M394" s="29"/>
      <c r="N394" s="29"/>
      <c r="O394" s="29"/>
      <c r="P394" s="29"/>
      <c r="Q394" s="29"/>
      <c r="R394" s="29"/>
      <c r="S394" s="29"/>
      <c r="T394" s="29"/>
      <c r="U394" s="26" t="str">
        <f t="shared" si="63"/>
        <v/>
      </c>
      <c r="V394" s="26"/>
      <c r="W394" s="26" t="str">
        <f t="shared" si="64"/>
        <v/>
      </c>
      <c r="X394" s="26" t="str">
        <f t="shared" si="65"/>
        <v/>
      </c>
      <c r="Y394" s="26" t="str">
        <f t="shared" si="66"/>
        <v/>
      </c>
      <c r="Z394" s="26" t="str">
        <f t="shared" si="67"/>
        <v/>
      </c>
      <c r="AA394" s="26" t="str">
        <f t="shared" si="68"/>
        <v/>
      </c>
      <c r="AB394" s="5" t="str">
        <f t="shared" si="69"/>
        <v/>
      </c>
    </row>
    <row r="395" spans="1:28" ht="12" customHeight="1">
      <c r="A395" s="22">
        <v>403</v>
      </c>
      <c r="B395" s="30"/>
      <c r="C395" s="30"/>
      <c r="D395" s="29"/>
      <c r="E395" s="29"/>
      <c r="F395" s="29"/>
      <c r="G395" s="29"/>
      <c r="H395" s="29"/>
      <c r="I395" s="25" t="str">
        <f t="shared" si="60"/>
        <v/>
      </c>
      <c r="J395" s="29"/>
      <c r="K395" s="25" t="str">
        <f t="shared" si="61"/>
        <v/>
      </c>
      <c r="L395" s="26" t="str">
        <f t="shared" si="62"/>
        <v/>
      </c>
      <c r="M395" s="29"/>
      <c r="N395" s="29"/>
      <c r="O395" s="29"/>
      <c r="P395" s="29"/>
      <c r="Q395" s="29"/>
      <c r="R395" s="29"/>
      <c r="S395" s="29"/>
      <c r="T395" s="29"/>
      <c r="U395" s="26" t="str">
        <f t="shared" si="63"/>
        <v/>
      </c>
      <c r="V395" s="26"/>
      <c r="W395" s="26" t="str">
        <f t="shared" si="64"/>
        <v/>
      </c>
      <c r="X395" s="26" t="str">
        <f t="shared" si="65"/>
        <v/>
      </c>
      <c r="Y395" s="26" t="str">
        <f t="shared" si="66"/>
        <v/>
      </c>
      <c r="Z395" s="26" t="str">
        <f t="shared" si="67"/>
        <v/>
      </c>
      <c r="AA395" s="26" t="str">
        <f t="shared" si="68"/>
        <v/>
      </c>
      <c r="AB395" s="5" t="str">
        <f t="shared" si="69"/>
        <v/>
      </c>
    </row>
    <row r="396" spans="1:28" ht="12" customHeight="1">
      <c r="A396" s="22">
        <v>404</v>
      </c>
      <c r="B396" s="30"/>
      <c r="C396" s="30"/>
      <c r="D396" s="29"/>
      <c r="E396" s="29"/>
      <c r="F396" s="29"/>
      <c r="G396" s="29"/>
      <c r="H396" s="29"/>
      <c r="I396" s="25" t="str">
        <f t="shared" si="60"/>
        <v/>
      </c>
      <c r="J396" s="29"/>
      <c r="K396" s="25" t="str">
        <f t="shared" si="61"/>
        <v/>
      </c>
      <c r="L396" s="26" t="str">
        <f t="shared" si="62"/>
        <v/>
      </c>
      <c r="M396" s="29"/>
      <c r="N396" s="29"/>
      <c r="O396" s="29"/>
      <c r="P396" s="29"/>
      <c r="Q396" s="29"/>
      <c r="R396" s="29"/>
      <c r="S396" s="29"/>
      <c r="T396" s="29"/>
      <c r="U396" s="26" t="str">
        <f t="shared" si="63"/>
        <v/>
      </c>
      <c r="V396" s="26"/>
      <c r="W396" s="26" t="str">
        <f t="shared" si="64"/>
        <v/>
      </c>
      <c r="X396" s="26" t="str">
        <f t="shared" si="65"/>
        <v/>
      </c>
      <c r="Y396" s="26" t="str">
        <f t="shared" si="66"/>
        <v/>
      </c>
      <c r="Z396" s="26" t="str">
        <f t="shared" si="67"/>
        <v/>
      </c>
      <c r="AA396" s="26" t="str">
        <f t="shared" si="68"/>
        <v/>
      </c>
      <c r="AB396" s="5" t="str">
        <f t="shared" si="69"/>
        <v/>
      </c>
    </row>
    <row r="397" spans="1:28" ht="12" customHeight="1">
      <c r="A397" s="22">
        <v>405</v>
      </c>
      <c r="B397" s="30"/>
      <c r="C397" s="30"/>
      <c r="D397" s="29"/>
      <c r="E397" s="29"/>
      <c r="F397" s="29"/>
      <c r="G397" s="29"/>
      <c r="H397" s="29"/>
      <c r="I397" s="25" t="str">
        <f t="shared" si="60"/>
        <v/>
      </c>
      <c r="J397" s="29"/>
      <c r="K397" s="25" t="str">
        <f t="shared" si="61"/>
        <v/>
      </c>
      <c r="L397" s="26" t="str">
        <f t="shared" si="62"/>
        <v/>
      </c>
      <c r="M397" s="29"/>
      <c r="N397" s="29"/>
      <c r="O397" s="29"/>
      <c r="P397" s="29"/>
      <c r="Q397" s="29"/>
      <c r="R397" s="29"/>
      <c r="S397" s="29"/>
      <c r="T397" s="29"/>
      <c r="U397" s="26" t="str">
        <f t="shared" si="63"/>
        <v/>
      </c>
      <c r="V397" s="26"/>
      <c r="W397" s="26" t="str">
        <f t="shared" si="64"/>
        <v/>
      </c>
      <c r="X397" s="26" t="str">
        <f t="shared" si="65"/>
        <v/>
      </c>
      <c r="Y397" s="26" t="str">
        <f t="shared" si="66"/>
        <v/>
      </c>
      <c r="Z397" s="26" t="str">
        <f t="shared" si="67"/>
        <v/>
      </c>
      <c r="AA397" s="26" t="str">
        <f t="shared" si="68"/>
        <v/>
      </c>
      <c r="AB397" s="5" t="str">
        <f t="shared" si="69"/>
        <v/>
      </c>
    </row>
    <row r="398" spans="1:28" ht="12" customHeight="1">
      <c r="A398" s="22">
        <v>406</v>
      </c>
      <c r="B398" s="30"/>
      <c r="C398" s="30"/>
      <c r="D398" s="29"/>
      <c r="E398" s="29"/>
      <c r="F398" s="29"/>
      <c r="G398" s="29"/>
      <c r="H398" s="29"/>
      <c r="I398" s="25" t="str">
        <f t="shared" si="60"/>
        <v/>
      </c>
      <c r="J398" s="29"/>
      <c r="K398" s="25" t="str">
        <f t="shared" si="61"/>
        <v/>
      </c>
      <c r="L398" s="26" t="str">
        <f t="shared" si="62"/>
        <v/>
      </c>
      <c r="M398" s="29"/>
      <c r="N398" s="29"/>
      <c r="O398" s="29"/>
      <c r="P398" s="29"/>
      <c r="Q398" s="29"/>
      <c r="R398" s="29"/>
      <c r="S398" s="29"/>
      <c r="T398" s="29"/>
      <c r="U398" s="26" t="str">
        <f t="shared" si="63"/>
        <v/>
      </c>
      <c r="V398" s="26"/>
      <c r="W398" s="26" t="str">
        <f t="shared" si="64"/>
        <v/>
      </c>
      <c r="X398" s="26" t="str">
        <f t="shared" si="65"/>
        <v/>
      </c>
      <c r="Y398" s="26" t="str">
        <f t="shared" si="66"/>
        <v/>
      </c>
      <c r="Z398" s="26" t="str">
        <f t="shared" si="67"/>
        <v/>
      </c>
      <c r="AA398" s="26" t="str">
        <f t="shared" si="68"/>
        <v/>
      </c>
      <c r="AB398" s="5" t="str">
        <f t="shared" si="69"/>
        <v/>
      </c>
    </row>
    <row r="399" spans="1:28" ht="12" customHeight="1">
      <c r="A399" s="22">
        <v>407</v>
      </c>
      <c r="B399" s="30"/>
      <c r="C399" s="30"/>
      <c r="D399" s="29"/>
      <c r="E399" s="29"/>
      <c r="F399" s="29"/>
      <c r="G399" s="29"/>
      <c r="H399" s="29"/>
      <c r="I399" s="25" t="str">
        <f t="shared" si="60"/>
        <v/>
      </c>
      <c r="J399" s="29"/>
      <c r="K399" s="25" t="str">
        <f t="shared" si="61"/>
        <v/>
      </c>
      <c r="L399" s="26" t="str">
        <f t="shared" si="62"/>
        <v/>
      </c>
      <c r="M399" s="29"/>
      <c r="N399" s="29"/>
      <c r="O399" s="29"/>
      <c r="P399" s="29"/>
      <c r="Q399" s="29"/>
      <c r="R399" s="29"/>
      <c r="S399" s="29"/>
      <c r="T399" s="29"/>
      <c r="U399" s="26" t="str">
        <f t="shared" si="63"/>
        <v/>
      </c>
      <c r="V399" s="26"/>
      <c r="W399" s="26" t="str">
        <f t="shared" si="64"/>
        <v/>
      </c>
      <c r="X399" s="26" t="str">
        <f t="shared" si="65"/>
        <v/>
      </c>
      <c r="Y399" s="26" t="str">
        <f t="shared" si="66"/>
        <v/>
      </c>
      <c r="Z399" s="26" t="str">
        <f t="shared" si="67"/>
        <v/>
      </c>
      <c r="AA399" s="26" t="str">
        <f t="shared" si="68"/>
        <v/>
      </c>
      <c r="AB399" s="5" t="str">
        <f t="shared" si="69"/>
        <v/>
      </c>
    </row>
    <row r="400" spans="1:28" ht="12" customHeight="1">
      <c r="A400" s="22">
        <v>408</v>
      </c>
      <c r="B400" s="30"/>
      <c r="C400" s="30"/>
      <c r="D400" s="29"/>
      <c r="E400" s="29"/>
      <c r="F400" s="29"/>
      <c r="G400" s="29"/>
      <c r="H400" s="29"/>
      <c r="I400" s="25" t="str">
        <f t="shared" si="60"/>
        <v/>
      </c>
      <c r="J400" s="29"/>
      <c r="K400" s="25" t="str">
        <f t="shared" si="61"/>
        <v/>
      </c>
      <c r="L400" s="26" t="str">
        <f t="shared" si="62"/>
        <v/>
      </c>
      <c r="M400" s="29"/>
      <c r="N400" s="29"/>
      <c r="O400" s="29"/>
      <c r="P400" s="29"/>
      <c r="Q400" s="29"/>
      <c r="R400" s="29"/>
      <c r="S400" s="29"/>
      <c r="T400" s="29"/>
      <c r="U400" s="26" t="str">
        <f t="shared" si="63"/>
        <v/>
      </c>
      <c r="V400" s="26"/>
      <c r="W400" s="26" t="str">
        <f t="shared" si="64"/>
        <v/>
      </c>
      <c r="X400" s="26" t="str">
        <f t="shared" si="65"/>
        <v/>
      </c>
      <c r="Y400" s="26" t="str">
        <f t="shared" si="66"/>
        <v/>
      </c>
      <c r="Z400" s="26" t="str">
        <f t="shared" si="67"/>
        <v/>
      </c>
      <c r="AA400" s="26" t="str">
        <f t="shared" si="68"/>
        <v/>
      </c>
      <c r="AB400" s="5" t="str">
        <f t="shared" si="69"/>
        <v/>
      </c>
    </row>
    <row r="401" spans="1:28" ht="12" customHeight="1">
      <c r="A401" s="22">
        <v>409</v>
      </c>
      <c r="B401" s="30"/>
      <c r="C401" s="30"/>
      <c r="D401" s="29"/>
      <c r="E401" s="29"/>
      <c r="F401" s="29"/>
      <c r="G401" s="29"/>
      <c r="H401" s="29"/>
      <c r="I401" s="25" t="str">
        <f t="shared" si="60"/>
        <v/>
      </c>
      <c r="J401" s="29"/>
      <c r="K401" s="25" t="str">
        <f t="shared" si="61"/>
        <v/>
      </c>
      <c r="L401" s="26" t="str">
        <f t="shared" si="62"/>
        <v/>
      </c>
      <c r="M401" s="29"/>
      <c r="N401" s="29"/>
      <c r="O401" s="29"/>
      <c r="P401" s="29"/>
      <c r="Q401" s="29"/>
      <c r="R401" s="29"/>
      <c r="S401" s="29"/>
      <c r="T401" s="29"/>
      <c r="U401" s="26" t="str">
        <f t="shared" si="63"/>
        <v/>
      </c>
      <c r="V401" s="26"/>
      <c r="W401" s="26" t="str">
        <f t="shared" si="64"/>
        <v/>
      </c>
      <c r="X401" s="26" t="str">
        <f t="shared" si="65"/>
        <v/>
      </c>
      <c r="Y401" s="26" t="str">
        <f t="shared" si="66"/>
        <v/>
      </c>
      <c r="Z401" s="26" t="str">
        <f t="shared" si="67"/>
        <v/>
      </c>
      <c r="AA401" s="26" t="str">
        <f t="shared" si="68"/>
        <v/>
      </c>
      <c r="AB401" s="5" t="str">
        <f t="shared" si="69"/>
        <v/>
      </c>
    </row>
    <row r="402" spans="1:28" ht="12" customHeight="1">
      <c r="A402" s="22">
        <v>410</v>
      </c>
      <c r="B402" s="30"/>
      <c r="C402" s="30"/>
      <c r="D402" s="29"/>
      <c r="E402" s="29"/>
      <c r="F402" s="29"/>
      <c r="G402" s="29"/>
      <c r="H402" s="29"/>
      <c r="I402" s="25" t="str">
        <f t="shared" si="60"/>
        <v/>
      </c>
      <c r="J402" s="29"/>
      <c r="K402" s="25" t="str">
        <f t="shared" si="61"/>
        <v/>
      </c>
      <c r="L402" s="26" t="str">
        <f t="shared" si="62"/>
        <v/>
      </c>
      <c r="M402" s="29"/>
      <c r="N402" s="29"/>
      <c r="O402" s="29"/>
      <c r="P402" s="29"/>
      <c r="Q402" s="29"/>
      <c r="R402" s="29"/>
      <c r="S402" s="29"/>
      <c r="T402" s="29"/>
      <c r="U402" s="26" t="str">
        <f t="shared" si="63"/>
        <v/>
      </c>
      <c r="V402" s="26"/>
      <c r="W402" s="26" t="str">
        <f t="shared" si="64"/>
        <v/>
      </c>
      <c r="X402" s="26" t="str">
        <f t="shared" si="65"/>
        <v/>
      </c>
      <c r="Y402" s="26" t="str">
        <f t="shared" si="66"/>
        <v/>
      </c>
      <c r="Z402" s="26" t="str">
        <f t="shared" si="67"/>
        <v/>
      </c>
      <c r="AA402" s="26" t="str">
        <f t="shared" si="68"/>
        <v/>
      </c>
      <c r="AB402" s="5" t="str">
        <f t="shared" si="69"/>
        <v/>
      </c>
    </row>
    <row r="403" spans="1:28" ht="12" customHeight="1">
      <c r="A403" s="22">
        <v>411</v>
      </c>
      <c r="B403" s="30"/>
      <c r="C403" s="30"/>
      <c r="D403" s="29"/>
      <c r="E403" s="29"/>
      <c r="F403" s="29"/>
      <c r="G403" s="29"/>
      <c r="H403" s="29"/>
      <c r="I403" s="25" t="str">
        <f t="shared" si="60"/>
        <v/>
      </c>
      <c r="J403" s="29"/>
      <c r="K403" s="25" t="str">
        <f t="shared" si="61"/>
        <v/>
      </c>
      <c r="L403" s="26" t="str">
        <f t="shared" si="62"/>
        <v/>
      </c>
      <c r="M403" s="29"/>
      <c r="N403" s="29"/>
      <c r="O403" s="29"/>
      <c r="P403" s="29"/>
      <c r="Q403" s="29"/>
      <c r="R403" s="29"/>
      <c r="S403" s="29"/>
      <c r="T403" s="29"/>
      <c r="U403" s="26" t="str">
        <f t="shared" si="63"/>
        <v/>
      </c>
      <c r="V403" s="26"/>
      <c r="W403" s="26" t="str">
        <f t="shared" si="64"/>
        <v/>
      </c>
      <c r="X403" s="26" t="str">
        <f t="shared" si="65"/>
        <v/>
      </c>
      <c r="Y403" s="26" t="str">
        <f t="shared" si="66"/>
        <v/>
      </c>
      <c r="Z403" s="26" t="str">
        <f t="shared" si="67"/>
        <v/>
      </c>
      <c r="AA403" s="26" t="str">
        <f t="shared" si="68"/>
        <v/>
      </c>
      <c r="AB403" s="5" t="str">
        <f t="shared" si="69"/>
        <v/>
      </c>
    </row>
    <row r="404" spans="1:28" ht="12" customHeight="1">
      <c r="A404" s="22">
        <v>412</v>
      </c>
      <c r="B404" s="30"/>
      <c r="C404" s="30"/>
      <c r="D404" s="29"/>
      <c r="E404" s="29"/>
      <c r="F404" s="29"/>
      <c r="G404" s="29"/>
      <c r="H404" s="29"/>
      <c r="I404" s="25" t="str">
        <f t="shared" si="60"/>
        <v/>
      </c>
      <c r="J404" s="29"/>
      <c r="K404" s="25" t="str">
        <f t="shared" si="61"/>
        <v/>
      </c>
      <c r="L404" s="26" t="str">
        <f t="shared" si="62"/>
        <v/>
      </c>
      <c r="M404" s="29"/>
      <c r="N404" s="29"/>
      <c r="O404" s="29"/>
      <c r="P404" s="29"/>
      <c r="Q404" s="29"/>
      <c r="R404" s="29"/>
      <c r="S404" s="29"/>
      <c r="T404" s="29"/>
      <c r="U404" s="26" t="str">
        <f t="shared" si="63"/>
        <v/>
      </c>
      <c r="V404" s="26"/>
      <c r="W404" s="26" t="str">
        <f t="shared" si="64"/>
        <v/>
      </c>
      <c r="X404" s="26" t="str">
        <f t="shared" si="65"/>
        <v/>
      </c>
      <c r="Y404" s="26" t="str">
        <f t="shared" si="66"/>
        <v/>
      </c>
      <c r="Z404" s="26" t="str">
        <f t="shared" si="67"/>
        <v/>
      </c>
      <c r="AA404" s="26" t="str">
        <f t="shared" si="68"/>
        <v/>
      </c>
      <c r="AB404" s="5" t="str">
        <f t="shared" si="69"/>
        <v/>
      </c>
    </row>
    <row r="405" spans="1:28" ht="12" customHeight="1">
      <c r="A405" s="22">
        <v>413</v>
      </c>
      <c r="B405" s="30"/>
      <c r="C405" s="30"/>
      <c r="D405" s="29"/>
      <c r="E405" s="29"/>
      <c r="F405" s="29"/>
      <c r="G405" s="29"/>
      <c r="H405" s="29"/>
      <c r="I405" s="25" t="str">
        <f t="shared" si="60"/>
        <v/>
      </c>
      <c r="J405" s="29"/>
      <c r="K405" s="25" t="str">
        <f t="shared" si="61"/>
        <v/>
      </c>
      <c r="L405" s="26" t="str">
        <f t="shared" si="62"/>
        <v/>
      </c>
      <c r="M405" s="29"/>
      <c r="N405" s="29"/>
      <c r="O405" s="29"/>
      <c r="P405" s="29"/>
      <c r="Q405" s="29"/>
      <c r="R405" s="29"/>
      <c r="S405" s="29"/>
      <c r="T405" s="29"/>
      <c r="U405" s="26" t="str">
        <f t="shared" si="63"/>
        <v/>
      </c>
      <c r="V405" s="26"/>
      <c r="W405" s="26" t="str">
        <f t="shared" si="64"/>
        <v/>
      </c>
      <c r="X405" s="26" t="str">
        <f t="shared" si="65"/>
        <v/>
      </c>
      <c r="Y405" s="26" t="str">
        <f t="shared" si="66"/>
        <v/>
      </c>
      <c r="Z405" s="26" t="str">
        <f t="shared" si="67"/>
        <v/>
      </c>
      <c r="AA405" s="26" t="str">
        <f t="shared" si="68"/>
        <v/>
      </c>
      <c r="AB405" s="5" t="str">
        <f t="shared" si="69"/>
        <v/>
      </c>
    </row>
    <row r="406" spans="1:28" ht="12" customHeight="1">
      <c r="A406" s="22">
        <v>414</v>
      </c>
      <c r="B406" s="30"/>
      <c r="C406" s="30"/>
      <c r="D406" s="29"/>
      <c r="E406" s="29"/>
      <c r="F406" s="29"/>
      <c r="G406" s="29"/>
      <c r="H406" s="29"/>
      <c r="I406" s="25" t="str">
        <f t="shared" si="60"/>
        <v/>
      </c>
      <c r="J406" s="29"/>
      <c r="K406" s="25" t="str">
        <f t="shared" si="61"/>
        <v/>
      </c>
      <c r="L406" s="26" t="str">
        <f t="shared" si="62"/>
        <v/>
      </c>
      <c r="M406" s="29"/>
      <c r="N406" s="29"/>
      <c r="O406" s="29"/>
      <c r="P406" s="29"/>
      <c r="Q406" s="29"/>
      <c r="R406" s="29"/>
      <c r="S406" s="29"/>
      <c r="T406" s="29"/>
      <c r="U406" s="26" t="str">
        <f t="shared" si="63"/>
        <v/>
      </c>
      <c r="V406" s="26"/>
      <c r="W406" s="26" t="str">
        <f t="shared" si="64"/>
        <v/>
      </c>
      <c r="X406" s="26" t="str">
        <f t="shared" si="65"/>
        <v/>
      </c>
      <c r="Y406" s="26" t="str">
        <f t="shared" si="66"/>
        <v/>
      </c>
      <c r="Z406" s="26" t="str">
        <f t="shared" si="67"/>
        <v/>
      </c>
      <c r="AA406" s="26" t="str">
        <f t="shared" si="68"/>
        <v/>
      </c>
      <c r="AB406" s="5" t="str">
        <f t="shared" si="69"/>
        <v/>
      </c>
    </row>
    <row r="407" spans="1:28" ht="12" customHeight="1">
      <c r="A407" s="22">
        <v>415</v>
      </c>
      <c r="B407" s="30"/>
      <c r="C407" s="30"/>
      <c r="D407" s="29"/>
      <c r="E407" s="29"/>
      <c r="F407" s="29"/>
      <c r="G407" s="29"/>
      <c r="H407" s="29"/>
      <c r="I407" s="25" t="str">
        <f t="shared" si="60"/>
        <v/>
      </c>
      <c r="J407" s="29"/>
      <c r="K407" s="25" t="str">
        <f t="shared" si="61"/>
        <v/>
      </c>
      <c r="L407" s="26" t="str">
        <f t="shared" si="62"/>
        <v/>
      </c>
      <c r="M407" s="29"/>
      <c r="N407" s="29"/>
      <c r="O407" s="29"/>
      <c r="P407" s="29"/>
      <c r="Q407" s="29"/>
      <c r="R407" s="29"/>
      <c r="S407" s="29"/>
      <c r="T407" s="29"/>
      <c r="U407" s="26" t="str">
        <f t="shared" si="63"/>
        <v/>
      </c>
      <c r="V407" s="26"/>
      <c r="W407" s="26" t="str">
        <f t="shared" si="64"/>
        <v/>
      </c>
      <c r="X407" s="26" t="str">
        <f t="shared" si="65"/>
        <v/>
      </c>
      <c r="Y407" s="26" t="str">
        <f t="shared" si="66"/>
        <v/>
      </c>
      <c r="Z407" s="26" t="str">
        <f t="shared" si="67"/>
        <v/>
      </c>
      <c r="AA407" s="26" t="str">
        <f t="shared" si="68"/>
        <v/>
      </c>
      <c r="AB407" s="5" t="str">
        <f t="shared" si="69"/>
        <v/>
      </c>
    </row>
    <row r="408" spans="1:28" ht="12" customHeight="1">
      <c r="A408" s="22">
        <v>416</v>
      </c>
      <c r="B408" s="30"/>
      <c r="C408" s="30"/>
      <c r="D408" s="29"/>
      <c r="E408" s="29"/>
      <c r="F408" s="29"/>
      <c r="G408" s="29"/>
      <c r="H408" s="29"/>
      <c r="I408" s="25" t="str">
        <f t="shared" si="60"/>
        <v/>
      </c>
      <c r="J408" s="29"/>
      <c r="K408" s="25" t="str">
        <f t="shared" si="61"/>
        <v/>
      </c>
      <c r="L408" s="26" t="str">
        <f t="shared" si="62"/>
        <v/>
      </c>
      <c r="M408" s="29"/>
      <c r="N408" s="29"/>
      <c r="O408" s="29"/>
      <c r="P408" s="29"/>
      <c r="Q408" s="29"/>
      <c r="R408" s="29"/>
      <c r="S408" s="29"/>
      <c r="T408" s="29"/>
      <c r="U408" s="26" t="str">
        <f t="shared" si="63"/>
        <v/>
      </c>
      <c r="V408" s="26"/>
      <c r="W408" s="26" t="str">
        <f t="shared" si="64"/>
        <v/>
      </c>
      <c r="X408" s="26" t="str">
        <f t="shared" si="65"/>
        <v/>
      </c>
      <c r="Y408" s="26" t="str">
        <f t="shared" si="66"/>
        <v/>
      </c>
      <c r="Z408" s="26" t="str">
        <f t="shared" si="67"/>
        <v/>
      </c>
      <c r="AA408" s="26" t="str">
        <f t="shared" si="68"/>
        <v/>
      </c>
      <c r="AB408" s="5" t="str">
        <f t="shared" si="69"/>
        <v/>
      </c>
    </row>
    <row r="409" spans="1:28" ht="12" customHeight="1">
      <c r="A409" s="22">
        <v>417</v>
      </c>
      <c r="B409" s="30"/>
      <c r="C409" s="30"/>
      <c r="D409" s="29"/>
      <c r="E409" s="29"/>
      <c r="F409" s="29"/>
      <c r="G409" s="29"/>
      <c r="H409" s="29"/>
      <c r="I409" s="25" t="str">
        <f t="shared" si="60"/>
        <v/>
      </c>
      <c r="J409" s="29"/>
      <c r="K409" s="25" t="str">
        <f t="shared" si="61"/>
        <v/>
      </c>
      <c r="L409" s="26" t="str">
        <f t="shared" si="62"/>
        <v/>
      </c>
      <c r="M409" s="29"/>
      <c r="N409" s="29"/>
      <c r="O409" s="29"/>
      <c r="P409" s="29"/>
      <c r="Q409" s="29"/>
      <c r="R409" s="29"/>
      <c r="S409" s="29"/>
      <c r="T409" s="29"/>
      <c r="U409" s="26" t="str">
        <f t="shared" si="63"/>
        <v/>
      </c>
      <c r="V409" s="26"/>
      <c r="W409" s="26" t="str">
        <f t="shared" si="64"/>
        <v/>
      </c>
      <c r="X409" s="26" t="str">
        <f t="shared" si="65"/>
        <v/>
      </c>
      <c r="Y409" s="26" t="str">
        <f t="shared" si="66"/>
        <v/>
      </c>
      <c r="Z409" s="26" t="str">
        <f t="shared" si="67"/>
        <v/>
      </c>
      <c r="AA409" s="26" t="str">
        <f t="shared" si="68"/>
        <v/>
      </c>
      <c r="AB409" s="5" t="str">
        <f t="shared" si="69"/>
        <v/>
      </c>
    </row>
    <row r="410" spans="1:28" ht="12" customHeight="1">
      <c r="A410" s="22">
        <v>418</v>
      </c>
      <c r="B410" s="30"/>
      <c r="C410" s="30"/>
      <c r="D410" s="29"/>
      <c r="E410" s="29"/>
      <c r="F410" s="29"/>
      <c r="G410" s="29"/>
      <c r="H410" s="29"/>
      <c r="I410" s="25" t="str">
        <f t="shared" si="60"/>
        <v/>
      </c>
      <c r="J410" s="29"/>
      <c r="K410" s="25" t="str">
        <f t="shared" si="61"/>
        <v/>
      </c>
      <c r="L410" s="26" t="str">
        <f t="shared" si="62"/>
        <v/>
      </c>
      <c r="M410" s="29"/>
      <c r="N410" s="29"/>
      <c r="O410" s="29"/>
      <c r="P410" s="29"/>
      <c r="Q410" s="29"/>
      <c r="R410" s="29"/>
      <c r="S410" s="29"/>
      <c r="T410" s="29"/>
      <c r="U410" s="26" t="str">
        <f t="shared" si="63"/>
        <v/>
      </c>
      <c r="V410" s="26"/>
      <c r="W410" s="26" t="str">
        <f t="shared" si="64"/>
        <v/>
      </c>
      <c r="X410" s="26" t="str">
        <f t="shared" si="65"/>
        <v/>
      </c>
      <c r="Y410" s="26" t="str">
        <f t="shared" si="66"/>
        <v/>
      </c>
      <c r="Z410" s="26" t="str">
        <f t="shared" si="67"/>
        <v/>
      </c>
      <c r="AA410" s="26" t="str">
        <f t="shared" si="68"/>
        <v/>
      </c>
      <c r="AB410" s="5" t="str">
        <f t="shared" si="69"/>
        <v/>
      </c>
    </row>
    <row r="411" spans="1:28" ht="12" customHeight="1">
      <c r="A411" s="22">
        <v>419</v>
      </c>
      <c r="B411" s="30"/>
      <c r="C411" s="30"/>
      <c r="D411" s="29"/>
      <c r="E411" s="29"/>
      <c r="F411" s="29"/>
      <c r="G411" s="29"/>
      <c r="H411" s="29"/>
      <c r="I411" s="25" t="str">
        <f t="shared" si="60"/>
        <v/>
      </c>
      <c r="J411" s="29"/>
      <c r="K411" s="25" t="str">
        <f t="shared" si="61"/>
        <v/>
      </c>
      <c r="L411" s="26" t="str">
        <f t="shared" si="62"/>
        <v/>
      </c>
      <c r="M411" s="29"/>
      <c r="N411" s="29"/>
      <c r="O411" s="29"/>
      <c r="P411" s="29"/>
      <c r="Q411" s="29"/>
      <c r="R411" s="29"/>
      <c r="S411" s="29"/>
      <c r="T411" s="29"/>
      <c r="U411" s="26" t="str">
        <f t="shared" si="63"/>
        <v/>
      </c>
      <c r="V411" s="26"/>
      <c r="W411" s="26" t="str">
        <f t="shared" si="64"/>
        <v/>
      </c>
      <c r="X411" s="26" t="str">
        <f t="shared" si="65"/>
        <v/>
      </c>
      <c r="Y411" s="26" t="str">
        <f t="shared" si="66"/>
        <v/>
      </c>
      <c r="Z411" s="26" t="str">
        <f t="shared" si="67"/>
        <v/>
      </c>
      <c r="AA411" s="26" t="str">
        <f t="shared" si="68"/>
        <v/>
      </c>
      <c r="AB411" s="5" t="str">
        <f t="shared" si="69"/>
        <v/>
      </c>
    </row>
    <row r="412" spans="1:28" ht="12" customHeight="1">
      <c r="A412" s="22">
        <v>420</v>
      </c>
      <c r="B412" s="30"/>
      <c r="C412" s="30"/>
      <c r="D412" s="29"/>
      <c r="E412" s="29"/>
      <c r="F412" s="29"/>
      <c r="G412" s="29"/>
      <c r="H412" s="29"/>
      <c r="I412" s="25" t="str">
        <f t="shared" si="60"/>
        <v/>
      </c>
      <c r="J412" s="29"/>
      <c r="K412" s="25" t="str">
        <f t="shared" si="61"/>
        <v/>
      </c>
      <c r="L412" s="26" t="str">
        <f t="shared" si="62"/>
        <v/>
      </c>
      <c r="M412" s="29"/>
      <c r="N412" s="29"/>
      <c r="O412" s="29"/>
      <c r="P412" s="29"/>
      <c r="Q412" s="29"/>
      <c r="R412" s="29"/>
      <c r="S412" s="29"/>
      <c r="T412" s="29"/>
      <c r="U412" s="26" t="str">
        <f t="shared" si="63"/>
        <v/>
      </c>
      <c r="V412" s="26"/>
      <c r="W412" s="26" t="str">
        <f t="shared" si="64"/>
        <v/>
      </c>
      <c r="X412" s="26" t="str">
        <f t="shared" si="65"/>
        <v/>
      </c>
      <c r="Y412" s="26" t="str">
        <f t="shared" si="66"/>
        <v/>
      </c>
      <c r="Z412" s="26" t="str">
        <f t="shared" si="67"/>
        <v/>
      </c>
      <c r="AA412" s="26" t="str">
        <f t="shared" si="68"/>
        <v/>
      </c>
      <c r="AB412" s="5" t="str">
        <f t="shared" si="69"/>
        <v/>
      </c>
    </row>
    <row r="413" spans="1:28" ht="12" customHeight="1">
      <c r="A413" s="22">
        <v>421</v>
      </c>
      <c r="B413" s="30"/>
      <c r="C413" s="30"/>
      <c r="D413" s="29"/>
      <c r="E413" s="29"/>
      <c r="F413" s="29"/>
      <c r="G413" s="29"/>
      <c r="H413" s="29"/>
      <c r="I413" s="25" t="str">
        <f t="shared" si="60"/>
        <v/>
      </c>
      <c r="J413" s="29"/>
      <c r="K413" s="25" t="str">
        <f t="shared" si="61"/>
        <v/>
      </c>
      <c r="L413" s="26" t="str">
        <f t="shared" si="62"/>
        <v/>
      </c>
      <c r="M413" s="29"/>
      <c r="N413" s="29"/>
      <c r="O413" s="29"/>
      <c r="P413" s="29"/>
      <c r="Q413" s="29"/>
      <c r="R413" s="29"/>
      <c r="S413" s="29"/>
      <c r="T413" s="29"/>
      <c r="U413" s="26" t="str">
        <f t="shared" si="63"/>
        <v/>
      </c>
      <c r="V413" s="26"/>
      <c r="W413" s="26" t="str">
        <f t="shared" si="64"/>
        <v/>
      </c>
      <c r="X413" s="26" t="str">
        <f t="shared" si="65"/>
        <v/>
      </c>
      <c r="Y413" s="26" t="str">
        <f t="shared" si="66"/>
        <v/>
      </c>
      <c r="Z413" s="26" t="str">
        <f t="shared" si="67"/>
        <v/>
      </c>
      <c r="AA413" s="26" t="str">
        <f t="shared" si="68"/>
        <v/>
      </c>
      <c r="AB413" s="5" t="str">
        <f t="shared" si="69"/>
        <v/>
      </c>
    </row>
    <row r="414" spans="1:28" ht="12" customHeight="1">
      <c r="A414" s="22">
        <v>422</v>
      </c>
      <c r="B414" s="30"/>
      <c r="C414" s="30"/>
      <c r="D414" s="29"/>
      <c r="E414" s="29"/>
      <c r="F414" s="29"/>
      <c r="G414" s="29"/>
      <c r="H414" s="29"/>
      <c r="I414" s="25" t="str">
        <f t="shared" si="60"/>
        <v/>
      </c>
      <c r="J414" s="29"/>
      <c r="K414" s="25" t="str">
        <f t="shared" si="61"/>
        <v/>
      </c>
      <c r="L414" s="26" t="str">
        <f t="shared" si="62"/>
        <v/>
      </c>
      <c r="M414" s="29"/>
      <c r="N414" s="29"/>
      <c r="O414" s="29"/>
      <c r="P414" s="29"/>
      <c r="Q414" s="29"/>
      <c r="R414" s="29"/>
      <c r="S414" s="29"/>
      <c r="T414" s="29"/>
      <c r="U414" s="26" t="str">
        <f t="shared" si="63"/>
        <v/>
      </c>
      <c r="V414" s="26"/>
      <c r="W414" s="26" t="str">
        <f t="shared" si="64"/>
        <v/>
      </c>
      <c r="X414" s="26" t="str">
        <f t="shared" si="65"/>
        <v/>
      </c>
      <c r="Y414" s="26" t="str">
        <f t="shared" si="66"/>
        <v/>
      </c>
      <c r="Z414" s="26" t="str">
        <f t="shared" si="67"/>
        <v/>
      </c>
      <c r="AA414" s="26" t="str">
        <f t="shared" si="68"/>
        <v/>
      </c>
      <c r="AB414" s="5" t="str">
        <f t="shared" si="69"/>
        <v/>
      </c>
    </row>
    <row r="415" spans="1:28" ht="12" customHeight="1">
      <c r="A415" s="22">
        <v>423</v>
      </c>
      <c r="B415" s="30"/>
      <c r="C415" s="30"/>
      <c r="D415" s="29"/>
      <c r="E415" s="29"/>
      <c r="F415" s="29"/>
      <c r="G415" s="29"/>
      <c r="H415" s="29"/>
      <c r="I415" s="25" t="str">
        <f t="shared" si="60"/>
        <v/>
      </c>
      <c r="J415" s="29"/>
      <c r="K415" s="25" t="str">
        <f t="shared" si="61"/>
        <v/>
      </c>
      <c r="L415" s="26" t="str">
        <f t="shared" si="62"/>
        <v/>
      </c>
      <c r="M415" s="29"/>
      <c r="N415" s="29"/>
      <c r="O415" s="29"/>
      <c r="P415" s="29"/>
      <c r="Q415" s="29"/>
      <c r="R415" s="29"/>
      <c r="S415" s="29"/>
      <c r="T415" s="29"/>
      <c r="U415" s="26" t="str">
        <f t="shared" si="63"/>
        <v/>
      </c>
      <c r="V415" s="26"/>
      <c r="W415" s="26" t="str">
        <f t="shared" si="64"/>
        <v/>
      </c>
      <c r="X415" s="26" t="str">
        <f t="shared" si="65"/>
        <v/>
      </c>
      <c r="Y415" s="26" t="str">
        <f t="shared" si="66"/>
        <v/>
      </c>
      <c r="Z415" s="26" t="str">
        <f t="shared" si="67"/>
        <v/>
      </c>
      <c r="AA415" s="26" t="str">
        <f t="shared" si="68"/>
        <v/>
      </c>
      <c r="AB415" s="5" t="str">
        <f t="shared" si="69"/>
        <v/>
      </c>
    </row>
    <row r="416" spans="1:28" ht="12" customHeight="1">
      <c r="A416" s="22">
        <v>424</v>
      </c>
      <c r="B416" s="30"/>
      <c r="C416" s="30"/>
      <c r="D416" s="29"/>
      <c r="E416" s="29"/>
      <c r="F416" s="29"/>
      <c r="G416" s="29"/>
      <c r="H416" s="29"/>
      <c r="I416" s="25" t="str">
        <f t="shared" si="60"/>
        <v/>
      </c>
      <c r="J416" s="29"/>
      <c r="K416" s="25" t="str">
        <f t="shared" si="61"/>
        <v/>
      </c>
      <c r="L416" s="26" t="str">
        <f t="shared" si="62"/>
        <v/>
      </c>
      <c r="M416" s="29"/>
      <c r="N416" s="29"/>
      <c r="O416" s="29"/>
      <c r="P416" s="29"/>
      <c r="Q416" s="29"/>
      <c r="R416" s="29"/>
      <c r="S416" s="29"/>
      <c r="T416" s="29"/>
      <c r="U416" s="26" t="str">
        <f t="shared" si="63"/>
        <v/>
      </c>
      <c r="V416" s="26"/>
      <c r="W416" s="26" t="str">
        <f t="shared" si="64"/>
        <v/>
      </c>
      <c r="X416" s="26" t="str">
        <f t="shared" si="65"/>
        <v/>
      </c>
      <c r="Y416" s="26" t="str">
        <f t="shared" si="66"/>
        <v/>
      </c>
      <c r="Z416" s="26" t="str">
        <f t="shared" si="67"/>
        <v/>
      </c>
      <c r="AA416" s="26" t="str">
        <f t="shared" si="68"/>
        <v/>
      </c>
      <c r="AB416" s="5" t="str">
        <f t="shared" si="69"/>
        <v/>
      </c>
    </row>
    <row r="417" spans="1:28" ht="12" customHeight="1">
      <c r="A417" s="22">
        <v>425</v>
      </c>
      <c r="B417" s="30"/>
      <c r="C417" s="30"/>
      <c r="D417" s="29"/>
      <c r="E417" s="29"/>
      <c r="F417" s="29"/>
      <c r="G417" s="29"/>
      <c r="H417" s="29"/>
      <c r="I417" s="25" t="str">
        <f t="shared" si="60"/>
        <v/>
      </c>
      <c r="J417" s="29"/>
      <c r="K417" s="25" t="str">
        <f t="shared" si="61"/>
        <v/>
      </c>
      <c r="L417" s="26" t="str">
        <f t="shared" si="62"/>
        <v/>
      </c>
      <c r="M417" s="29"/>
      <c r="N417" s="29"/>
      <c r="O417" s="29"/>
      <c r="P417" s="29"/>
      <c r="Q417" s="29"/>
      <c r="R417" s="29"/>
      <c r="S417" s="29"/>
      <c r="T417" s="29"/>
      <c r="U417" s="26" t="str">
        <f t="shared" si="63"/>
        <v/>
      </c>
      <c r="V417" s="26"/>
      <c r="W417" s="26" t="str">
        <f t="shared" si="64"/>
        <v/>
      </c>
      <c r="X417" s="26" t="str">
        <f t="shared" si="65"/>
        <v/>
      </c>
      <c r="Y417" s="26" t="str">
        <f t="shared" si="66"/>
        <v/>
      </c>
      <c r="Z417" s="26" t="str">
        <f t="shared" si="67"/>
        <v/>
      </c>
      <c r="AA417" s="26" t="str">
        <f t="shared" si="68"/>
        <v/>
      </c>
      <c r="AB417" s="5" t="str">
        <f t="shared" si="69"/>
        <v/>
      </c>
    </row>
    <row r="418" spans="1:28" ht="12" customHeight="1">
      <c r="A418" s="22">
        <v>426</v>
      </c>
      <c r="B418" s="30"/>
      <c r="C418" s="30"/>
      <c r="D418" s="29"/>
      <c r="E418" s="29"/>
      <c r="F418" s="29"/>
      <c r="G418" s="29"/>
      <c r="H418" s="29"/>
      <c r="I418" s="25" t="str">
        <f t="shared" si="60"/>
        <v/>
      </c>
      <c r="J418" s="29"/>
      <c r="K418" s="25" t="str">
        <f t="shared" si="61"/>
        <v/>
      </c>
      <c r="L418" s="26" t="str">
        <f t="shared" si="62"/>
        <v/>
      </c>
      <c r="M418" s="29"/>
      <c r="N418" s="29"/>
      <c r="O418" s="29"/>
      <c r="P418" s="29"/>
      <c r="Q418" s="29"/>
      <c r="R418" s="29"/>
      <c r="S418" s="29"/>
      <c r="T418" s="29"/>
      <c r="U418" s="26" t="str">
        <f t="shared" si="63"/>
        <v/>
      </c>
      <c r="V418" s="26"/>
      <c r="W418" s="26" t="str">
        <f t="shared" si="64"/>
        <v/>
      </c>
      <c r="X418" s="26" t="str">
        <f t="shared" si="65"/>
        <v/>
      </c>
      <c r="Y418" s="26" t="str">
        <f t="shared" si="66"/>
        <v/>
      </c>
      <c r="Z418" s="26" t="str">
        <f t="shared" si="67"/>
        <v/>
      </c>
      <c r="AA418" s="26" t="str">
        <f t="shared" si="68"/>
        <v/>
      </c>
      <c r="AB418" s="5" t="str">
        <f t="shared" si="69"/>
        <v/>
      </c>
    </row>
    <row r="419" spans="1:28" ht="12" customHeight="1">
      <c r="A419" s="22">
        <v>427</v>
      </c>
      <c r="B419" s="30"/>
      <c r="C419" s="30"/>
      <c r="D419" s="29"/>
      <c r="E419" s="29"/>
      <c r="F419" s="29"/>
      <c r="G419" s="29"/>
      <c r="H419" s="29"/>
      <c r="I419" s="25" t="str">
        <f t="shared" si="60"/>
        <v/>
      </c>
      <c r="J419" s="29"/>
      <c r="K419" s="25" t="str">
        <f t="shared" si="61"/>
        <v/>
      </c>
      <c r="L419" s="26" t="str">
        <f t="shared" si="62"/>
        <v/>
      </c>
      <c r="M419" s="29"/>
      <c r="N419" s="29"/>
      <c r="O419" s="29"/>
      <c r="P419" s="29"/>
      <c r="Q419" s="29"/>
      <c r="R419" s="29"/>
      <c r="S419" s="29"/>
      <c r="T419" s="29"/>
      <c r="U419" s="26" t="str">
        <f t="shared" si="63"/>
        <v/>
      </c>
      <c r="V419" s="26"/>
      <c r="W419" s="26" t="str">
        <f t="shared" si="64"/>
        <v/>
      </c>
      <c r="X419" s="26" t="str">
        <f t="shared" si="65"/>
        <v/>
      </c>
      <c r="Y419" s="26" t="str">
        <f t="shared" si="66"/>
        <v/>
      </c>
      <c r="Z419" s="26" t="str">
        <f t="shared" si="67"/>
        <v/>
      </c>
      <c r="AA419" s="26" t="str">
        <f t="shared" si="68"/>
        <v/>
      </c>
      <c r="AB419" s="5" t="str">
        <f t="shared" si="69"/>
        <v/>
      </c>
    </row>
    <row r="420" spans="1:28" ht="12" customHeight="1">
      <c r="A420" s="22">
        <v>428</v>
      </c>
      <c r="B420" s="30"/>
      <c r="C420" s="30"/>
      <c r="D420" s="29"/>
      <c r="E420" s="29"/>
      <c r="F420" s="29"/>
      <c r="G420" s="29"/>
      <c r="H420" s="29"/>
      <c r="I420" s="25" t="str">
        <f t="shared" si="60"/>
        <v/>
      </c>
      <c r="J420" s="29"/>
      <c r="K420" s="25" t="str">
        <f t="shared" si="61"/>
        <v/>
      </c>
      <c r="L420" s="26" t="str">
        <f t="shared" si="62"/>
        <v/>
      </c>
      <c r="M420" s="29"/>
      <c r="N420" s="29"/>
      <c r="O420" s="29"/>
      <c r="P420" s="29"/>
      <c r="Q420" s="29"/>
      <c r="R420" s="29"/>
      <c r="S420" s="29"/>
      <c r="T420" s="29"/>
      <c r="U420" s="26" t="str">
        <f t="shared" si="63"/>
        <v/>
      </c>
      <c r="V420" s="26"/>
      <c r="W420" s="26" t="str">
        <f t="shared" si="64"/>
        <v/>
      </c>
      <c r="X420" s="26" t="str">
        <f t="shared" si="65"/>
        <v/>
      </c>
      <c r="Y420" s="26" t="str">
        <f t="shared" si="66"/>
        <v/>
      </c>
      <c r="Z420" s="26" t="str">
        <f t="shared" si="67"/>
        <v/>
      </c>
      <c r="AA420" s="26" t="str">
        <f t="shared" si="68"/>
        <v/>
      </c>
      <c r="AB420" s="5" t="str">
        <f t="shared" si="69"/>
        <v/>
      </c>
    </row>
    <row r="421" spans="1:28" ht="12" customHeight="1">
      <c r="A421" s="22">
        <v>429</v>
      </c>
      <c r="B421" s="30"/>
      <c r="C421" s="30"/>
      <c r="D421" s="29"/>
      <c r="E421" s="29"/>
      <c r="F421" s="29"/>
      <c r="G421" s="29"/>
      <c r="H421" s="29"/>
      <c r="I421" s="25" t="str">
        <f t="shared" si="60"/>
        <v/>
      </c>
      <c r="J421" s="29"/>
      <c r="K421" s="25" t="str">
        <f t="shared" si="61"/>
        <v/>
      </c>
      <c r="L421" s="26" t="str">
        <f t="shared" si="62"/>
        <v/>
      </c>
      <c r="M421" s="29"/>
      <c r="N421" s="29"/>
      <c r="O421" s="29"/>
      <c r="P421" s="29"/>
      <c r="Q421" s="29"/>
      <c r="R421" s="29"/>
      <c r="S421" s="29"/>
      <c r="T421" s="29"/>
      <c r="U421" s="26" t="str">
        <f t="shared" si="63"/>
        <v/>
      </c>
      <c r="V421" s="26"/>
      <c r="W421" s="26" t="str">
        <f t="shared" si="64"/>
        <v/>
      </c>
      <c r="X421" s="26" t="str">
        <f t="shared" si="65"/>
        <v/>
      </c>
      <c r="Y421" s="26" t="str">
        <f t="shared" si="66"/>
        <v/>
      </c>
      <c r="Z421" s="26" t="str">
        <f t="shared" si="67"/>
        <v/>
      </c>
      <c r="AA421" s="26" t="str">
        <f t="shared" si="68"/>
        <v/>
      </c>
      <c r="AB421" s="5" t="str">
        <f t="shared" si="69"/>
        <v/>
      </c>
    </row>
    <row r="422" spans="1:28" ht="12" customHeight="1">
      <c r="A422" s="22">
        <v>430</v>
      </c>
      <c r="B422" s="30"/>
      <c r="C422" s="30"/>
      <c r="D422" s="29"/>
      <c r="E422" s="29"/>
      <c r="F422" s="29"/>
      <c r="G422" s="29"/>
      <c r="H422" s="29"/>
      <c r="I422" s="25" t="str">
        <f t="shared" si="60"/>
        <v/>
      </c>
      <c r="J422" s="29"/>
      <c r="K422" s="25" t="str">
        <f t="shared" si="61"/>
        <v/>
      </c>
      <c r="L422" s="26" t="str">
        <f t="shared" si="62"/>
        <v/>
      </c>
      <c r="M422" s="29"/>
      <c r="N422" s="29"/>
      <c r="O422" s="29"/>
      <c r="P422" s="29"/>
      <c r="Q422" s="29"/>
      <c r="R422" s="29"/>
      <c r="S422" s="29"/>
      <c r="T422" s="29"/>
      <c r="U422" s="26" t="str">
        <f t="shared" si="63"/>
        <v/>
      </c>
      <c r="V422" s="26"/>
      <c r="W422" s="26" t="str">
        <f t="shared" si="64"/>
        <v/>
      </c>
      <c r="X422" s="26" t="str">
        <f t="shared" si="65"/>
        <v/>
      </c>
      <c r="Y422" s="26" t="str">
        <f t="shared" si="66"/>
        <v/>
      </c>
      <c r="Z422" s="26" t="str">
        <f t="shared" si="67"/>
        <v/>
      </c>
      <c r="AA422" s="26" t="str">
        <f t="shared" si="68"/>
        <v/>
      </c>
      <c r="AB422" s="5" t="str">
        <f t="shared" si="69"/>
        <v/>
      </c>
    </row>
    <row r="423" spans="1:28" ht="12" customHeight="1">
      <c r="A423" s="22">
        <v>431</v>
      </c>
      <c r="B423" s="30"/>
      <c r="C423" s="30"/>
      <c r="D423" s="29"/>
      <c r="E423" s="29"/>
      <c r="F423" s="29"/>
      <c r="G423" s="29"/>
      <c r="H423" s="29"/>
      <c r="I423" s="25" t="str">
        <f t="shared" si="60"/>
        <v/>
      </c>
      <c r="J423" s="29"/>
      <c r="K423" s="25" t="str">
        <f t="shared" si="61"/>
        <v/>
      </c>
      <c r="L423" s="26" t="str">
        <f t="shared" si="62"/>
        <v/>
      </c>
      <c r="M423" s="29"/>
      <c r="N423" s="29"/>
      <c r="O423" s="29"/>
      <c r="P423" s="29"/>
      <c r="Q423" s="29"/>
      <c r="R423" s="29"/>
      <c r="S423" s="29"/>
      <c r="T423" s="29"/>
      <c r="U423" s="26" t="str">
        <f t="shared" si="63"/>
        <v/>
      </c>
      <c r="V423" s="26"/>
      <c r="W423" s="26" t="str">
        <f t="shared" si="64"/>
        <v/>
      </c>
      <c r="X423" s="26" t="str">
        <f t="shared" si="65"/>
        <v/>
      </c>
      <c r="Y423" s="26" t="str">
        <f t="shared" si="66"/>
        <v/>
      </c>
      <c r="Z423" s="26" t="str">
        <f t="shared" si="67"/>
        <v/>
      </c>
      <c r="AA423" s="26" t="str">
        <f t="shared" si="68"/>
        <v/>
      </c>
      <c r="AB423" s="5" t="str">
        <f t="shared" si="69"/>
        <v/>
      </c>
    </row>
    <row r="424" spans="1:28" ht="12" customHeight="1">
      <c r="A424" s="22">
        <v>432</v>
      </c>
      <c r="B424" s="30"/>
      <c r="C424" s="30"/>
      <c r="D424" s="29"/>
      <c r="E424" s="29"/>
      <c r="F424" s="29"/>
      <c r="G424" s="29"/>
      <c r="H424" s="29"/>
      <c r="I424" s="25" t="str">
        <f t="shared" si="60"/>
        <v/>
      </c>
      <c r="J424" s="29"/>
      <c r="K424" s="25" t="str">
        <f t="shared" si="61"/>
        <v/>
      </c>
      <c r="L424" s="26" t="str">
        <f t="shared" si="62"/>
        <v/>
      </c>
      <c r="M424" s="29"/>
      <c r="N424" s="29"/>
      <c r="O424" s="29"/>
      <c r="P424" s="29"/>
      <c r="Q424" s="29"/>
      <c r="R424" s="29"/>
      <c r="S424" s="29"/>
      <c r="T424" s="29"/>
      <c r="U424" s="26" t="str">
        <f t="shared" si="63"/>
        <v/>
      </c>
      <c r="V424" s="26"/>
      <c r="W424" s="26" t="str">
        <f t="shared" si="64"/>
        <v/>
      </c>
      <c r="X424" s="26" t="str">
        <f t="shared" si="65"/>
        <v/>
      </c>
      <c r="Y424" s="26" t="str">
        <f t="shared" si="66"/>
        <v/>
      </c>
      <c r="Z424" s="26" t="str">
        <f t="shared" si="67"/>
        <v/>
      </c>
      <c r="AA424" s="26" t="str">
        <f t="shared" si="68"/>
        <v/>
      </c>
      <c r="AB424" s="5" t="str">
        <f t="shared" si="69"/>
        <v/>
      </c>
    </row>
    <row r="425" spans="1:28" ht="12" customHeight="1">
      <c r="A425" s="22">
        <v>433</v>
      </c>
      <c r="B425" s="30"/>
      <c r="C425" s="30"/>
      <c r="D425" s="29"/>
      <c r="E425" s="29"/>
      <c r="F425" s="29"/>
      <c r="G425" s="29"/>
      <c r="H425" s="29"/>
      <c r="I425" s="25" t="str">
        <f t="shared" si="60"/>
        <v/>
      </c>
      <c r="J425" s="29"/>
      <c r="K425" s="25" t="str">
        <f t="shared" si="61"/>
        <v/>
      </c>
      <c r="L425" s="26" t="str">
        <f t="shared" si="62"/>
        <v/>
      </c>
      <c r="M425" s="29"/>
      <c r="N425" s="29"/>
      <c r="O425" s="29"/>
      <c r="P425" s="29"/>
      <c r="Q425" s="29"/>
      <c r="R425" s="29"/>
      <c r="S425" s="29"/>
      <c r="T425" s="29"/>
      <c r="U425" s="26" t="str">
        <f t="shared" si="63"/>
        <v/>
      </c>
      <c r="V425" s="26"/>
      <c r="W425" s="26" t="str">
        <f t="shared" si="64"/>
        <v/>
      </c>
      <c r="X425" s="26" t="str">
        <f t="shared" si="65"/>
        <v/>
      </c>
      <c r="Y425" s="26" t="str">
        <f t="shared" si="66"/>
        <v/>
      </c>
      <c r="Z425" s="26" t="str">
        <f t="shared" si="67"/>
        <v/>
      </c>
      <c r="AA425" s="26" t="str">
        <f t="shared" si="68"/>
        <v/>
      </c>
      <c r="AB425" s="5" t="str">
        <f t="shared" si="69"/>
        <v/>
      </c>
    </row>
    <row r="426" spans="1:28" ht="12" customHeight="1">
      <c r="A426" s="22">
        <v>434</v>
      </c>
      <c r="B426" s="30"/>
      <c r="C426" s="30"/>
      <c r="D426" s="29"/>
      <c r="E426" s="29"/>
      <c r="F426" s="29"/>
      <c r="G426" s="29"/>
      <c r="H426" s="29"/>
      <c r="I426" s="25" t="str">
        <f t="shared" si="60"/>
        <v/>
      </c>
      <c r="J426" s="29"/>
      <c r="K426" s="25" t="str">
        <f t="shared" si="61"/>
        <v/>
      </c>
      <c r="L426" s="26" t="str">
        <f t="shared" si="62"/>
        <v/>
      </c>
      <c r="M426" s="29"/>
      <c r="N426" s="29"/>
      <c r="O426" s="29"/>
      <c r="P426" s="29"/>
      <c r="Q426" s="29"/>
      <c r="R426" s="29"/>
      <c r="S426" s="29"/>
      <c r="T426" s="29"/>
      <c r="U426" s="26" t="str">
        <f t="shared" si="63"/>
        <v/>
      </c>
      <c r="V426" s="26"/>
      <c r="W426" s="26" t="str">
        <f t="shared" si="64"/>
        <v/>
      </c>
      <c r="X426" s="26" t="str">
        <f t="shared" si="65"/>
        <v/>
      </c>
      <c r="Y426" s="26" t="str">
        <f t="shared" si="66"/>
        <v/>
      </c>
      <c r="Z426" s="26" t="str">
        <f t="shared" si="67"/>
        <v/>
      </c>
      <c r="AA426" s="26" t="str">
        <f t="shared" si="68"/>
        <v/>
      </c>
      <c r="AB426" s="5" t="str">
        <f t="shared" si="69"/>
        <v/>
      </c>
    </row>
    <row r="427" spans="1:28" ht="12" customHeight="1">
      <c r="A427" s="22">
        <v>435</v>
      </c>
      <c r="B427" s="30"/>
      <c r="C427" s="30"/>
      <c r="D427" s="29"/>
      <c r="E427" s="29"/>
      <c r="F427" s="29"/>
      <c r="G427" s="29"/>
      <c r="H427" s="29"/>
      <c r="I427" s="25" t="str">
        <f t="shared" si="60"/>
        <v/>
      </c>
      <c r="J427" s="29"/>
      <c r="K427" s="25" t="str">
        <f t="shared" si="61"/>
        <v/>
      </c>
      <c r="L427" s="26" t="str">
        <f t="shared" si="62"/>
        <v/>
      </c>
      <c r="M427" s="29"/>
      <c r="N427" s="29"/>
      <c r="O427" s="29"/>
      <c r="P427" s="29"/>
      <c r="Q427" s="29"/>
      <c r="R427" s="29"/>
      <c r="S427" s="29"/>
      <c r="T427" s="29"/>
      <c r="U427" s="26" t="str">
        <f t="shared" si="63"/>
        <v/>
      </c>
      <c r="V427" s="26"/>
      <c r="W427" s="26" t="str">
        <f t="shared" si="64"/>
        <v/>
      </c>
      <c r="X427" s="26" t="str">
        <f t="shared" si="65"/>
        <v/>
      </c>
      <c r="Y427" s="26" t="str">
        <f t="shared" si="66"/>
        <v/>
      </c>
      <c r="Z427" s="26" t="str">
        <f t="shared" si="67"/>
        <v/>
      </c>
      <c r="AA427" s="26" t="str">
        <f t="shared" si="68"/>
        <v/>
      </c>
      <c r="AB427" s="5" t="str">
        <f t="shared" si="69"/>
        <v/>
      </c>
    </row>
    <row r="428" spans="1:28" ht="12" customHeight="1">
      <c r="A428" s="22">
        <v>436</v>
      </c>
      <c r="B428" s="30"/>
      <c r="C428" s="30"/>
      <c r="D428" s="29"/>
      <c r="E428" s="29"/>
      <c r="F428" s="29"/>
      <c r="G428" s="29"/>
      <c r="H428" s="29"/>
      <c r="I428" s="25" t="str">
        <f t="shared" si="60"/>
        <v/>
      </c>
      <c r="J428" s="29"/>
      <c r="K428" s="25" t="str">
        <f t="shared" si="61"/>
        <v/>
      </c>
      <c r="L428" s="26" t="str">
        <f t="shared" si="62"/>
        <v/>
      </c>
      <c r="M428" s="29"/>
      <c r="N428" s="29"/>
      <c r="O428" s="29"/>
      <c r="P428" s="29"/>
      <c r="Q428" s="29"/>
      <c r="R428" s="29"/>
      <c r="S428" s="29"/>
      <c r="T428" s="29"/>
      <c r="U428" s="26" t="str">
        <f t="shared" si="63"/>
        <v/>
      </c>
      <c r="V428" s="26"/>
      <c r="W428" s="26" t="str">
        <f t="shared" si="64"/>
        <v/>
      </c>
      <c r="X428" s="26" t="str">
        <f t="shared" si="65"/>
        <v/>
      </c>
      <c r="Y428" s="26" t="str">
        <f t="shared" si="66"/>
        <v/>
      </c>
      <c r="Z428" s="26" t="str">
        <f t="shared" si="67"/>
        <v/>
      </c>
      <c r="AA428" s="26" t="str">
        <f t="shared" si="68"/>
        <v/>
      </c>
      <c r="AB428" s="5" t="str">
        <f t="shared" si="69"/>
        <v/>
      </c>
    </row>
    <row r="429" spans="1:28" ht="12" customHeight="1">
      <c r="A429" s="22">
        <v>437</v>
      </c>
      <c r="B429" s="30"/>
      <c r="C429" s="30"/>
      <c r="D429" s="29"/>
      <c r="E429" s="29"/>
      <c r="F429" s="29"/>
      <c r="G429" s="29"/>
      <c r="H429" s="29"/>
      <c r="I429" s="25" t="str">
        <f t="shared" si="60"/>
        <v/>
      </c>
      <c r="J429" s="29"/>
      <c r="K429" s="25" t="str">
        <f t="shared" si="61"/>
        <v/>
      </c>
      <c r="L429" s="26" t="str">
        <f t="shared" si="62"/>
        <v/>
      </c>
      <c r="M429" s="29"/>
      <c r="N429" s="29"/>
      <c r="O429" s="29"/>
      <c r="P429" s="29"/>
      <c r="Q429" s="29"/>
      <c r="R429" s="29"/>
      <c r="S429" s="29"/>
      <c r="T429" s="29"/>
      <c r="U429" s="26" t="str">
        <f t="shared" si="63"/>
        <v/>
      </c>
      <c r="V429" s="26"/>
      <c r="W429" s="26" t="str">
        <f t="shared" si="64"/>
        <v/>
      </c>
      <c r="X429" s="26" t="str">
        <f t="shared" si="65"/>
        <v/>
      </c>
      <c r="Y429" s="26" t="str">
        <f t="shared" si="66"/>
        <v/>
      </c>
      <c r="Z429" s="26" t="str">
        <f t="shared" si="67"/>
        <v/>
      </c>
      <c r="AA429" s="26" t="str">
        <f t="shared" si="68"/>
        <v/>
      </c>
      <c r="AB429" s="5" t="str">
        <f t="shared" si="69"/>
        <v/>
      </c>
    </row>
    <row r="430" spans="1:28" ht="12" customHeight="1">
      <c r="A430" s="22">
        <v>438</v>
      </c>
      <c r="B430" s="30"/>
      <c r="C430" s="30"/>
      <c r="D430" s="29"/>
      <c r="E430" s="29"/>
      <c r="F430" s="29"/>
      <c r="G430" s="29"/>
      <c r="H430" s="29"/>
      <c r="I430" s="25" t="str">
        <f t="shared" si="60"/>
        <v/>
      </c>
      <c r="J430" s="29"/>
      <c r="K430" s="25" t="str">
        <f t="shared" si="61"/>
        <v/>
      </c>
      <c r="L430" s="26" t="str">
        <f t="shared" si="62"/>
        <v/>
      </c>
      <c r="M430" s="29"/>
      <c r="N430" s="29"/>
      <c r="O430" s="29"/>
      <c r="P430" s="29"/>
      <c r="Q430" s="29"/>
      <c r="R430" s="29"/>
      <c r="S430" s="29"/>
      <c r="T430" s="29"/>
      <c r="U430" s="26" t="str">
        <f t="shared" si="63"/>
        <v/>
      </c>
      <c r="V430" s="26"/>
      <c r="W430" s="26" t="str">
        <f t="shared" si="64"/>
        <v/>
      </c>
      <c r="X430" s="26" t="str">
        <f t="shared" si="65"/>
        <v/>
      </c>
      <c r="Y430" s="26" t="str">
        <f t="shared" si="66"/>
        <v/>
      </c>
      <c r="Z430" s="26" t="str">
        <f t="shared" si="67"/>
        <v/>
      </c>
      <c r="AA430" s="26" t="str">
        <f t="shared" si="68"/>
        <v/>
      </c>
      <c r="AB430" s="5" t="str">
        <f t="shared" si="69"/>
        <v/>
      </c>
    </row>
    <row r="431" spans="1:28" ht="12" customHeight="1">
      <c r="A431" s="22">
        <v>439</v>
      </c>
      <c r="B431" s="30"/>
      <c r="C431" s="30"/>
      <c r="D431" s="29"/>
      <c r="E431" s="29"/>
      <c r="F431" s="29"/>
      <c r="G431" s="29"/>
      <c r="H431" s="29"/>
      <c r="I431" s="25" t="str">
        <f t="shared" si="60"/>
        <v/>
      </c>
      <c r="J431" s="29"/>
      <c r="K431" s="25" t="str">
        <f t="shared" si="61"/>
        <v/>
      </c>
      <c r="L431" s="26" t="str">
        <f t="shared" si="62"/>
        <v/>
      </c>
      <c r="M431" s="29"/>
      <c r="N431" s="29"/>
      <c r="O431" s="29"/>
      <c r="P431" s="29"/>
      <c r="Q431" s="29"/>
      <c r="R431" s="29"/>
      <c r="S431" s="29"/>
      <c r="T431" s="29"/>
      <c r="U431" s="26" t="str">
        <f t="shared" si="63"/>
        <v/>
      </c>
      <c r="V431" s="26"/>
      <c r="W431" s="26" t="str">
        <f t="shared" si="64"/>
        <v/>
      </c>
      <c r="X431" s="26" t="str">
        <f t="shared" si="65"/>
        <v/>
      </c>
      <c r="Y431" s="26" t="str">
        <f t="shared" si="66"/>
        <v/>
      </c>
      <c r="Z431" s="26" t="str">
        <f t="shared" si="67"/>
        <v/>
      </c>
      <c r="AA431" s="26" t="str">
        <f t="shared" si="68"/>
        <v/>
      </c>
      <c r="AB431" s="5" t="str">
        <f t="shared" si="69"/>
        <v/>
      </c>
    </row>
    <row r="432" spans="1:28" ht="12" customHeight="1">
      <c r="A432" s="22">
        <v>440</v>
      </c>
      <c r="B432" s="30"/>
      <c r="C432" s="30"/>
      <c r="D432" s="29"/>
      <c r="E432" s="29"/>
      <c r="F432" s="29"/>
      <c r="G432" s="29"/>
      <c r="H432" s="29"/>
      <c r="I432" s="25" t="str">
        <f t="shared" si="60"/>
        <v/>
      </c>
      <c r="J432" s="29"/>
      <c r="K432" s="25" t="str">
        <f t="shared" si="61"/>
        <v/>
      </c>
      <c r="L432" s="26" t="str">
        <f t="shared" si="62"/>
        <v/>
      </c>
      <c r="M432" s="29"/>
      <c r="N432" s="29"/>
      <c r="O432" s="29"/>
      <c r="P432" s="29"/>
      <c r="Q432" s="29"/>
      <c r="R432" s="29"/>
      <c r="S432" s="29"/>
      <c r="T432" s="29"/>
      <c r="U432" s="26" t="str">
        <f t="shared" si="63"/>
        <v/>
      </c>
      <c r="V432" s="26"/>
      <c r="W432" s="26" t="str">
        <f t="shared" si="64"/>
        <v/>
      </c>
      <c r="X432" s="26" t="str">
        <f t="shared" si="65"/>
        <v/>
      </c>
      <c r="Y432" s="26" t="str">
        <f t="shared" si="66"/>
        <v/>
      </c>
      <c r="Z432" s="26" t="str">
        <f t="shared" si="67"/>
        <v/>
      </c>
      <c r="AA432" s="26" t="str">
        <f t="shared" si="68"/>
        <v/>
      </c>
      <c r="AB432" s="5" t="str">
        <f t="shared" si="69"/>
        <v/>
      </c>
    </row>
    <row r="433" spans="1:28" ht="12" customHeight="1">
      <c r="A433" s="22">
        <v>441</v>
      </c>
      <c r="B433" s="30"/>
      <c r="C433" s="30"/>
      <c r="D433" s="29"/>
      <c r="E433" s="29"/>
      <c r="F433" s="29"/>
      <c r="G433" s="29"/>
      <c r="H433" s="29"/>
      <c r="I433" s="25" t="str">
        <f t="shared" si="60"/>
        <v/>
      </c>
      <c r="J433" s="29"/>
      <c r="K433" s="25" t="str">
        <f t="shared" si="61"/>
        <v/>
      </c>
      <c r="L433" s="26" t="str">
        <f t="shared" si="62"/>
        <v/>
      </c>
      <c r="M433" s="29"/>
      <c r="N433" s="29"/>
      <c r="O433" s="29"/>
      <c r="P433" s="29"/>
      <c r="Q433" s="29"/>
      <c r="R433" s="29"/>
      <c r="S433" s="29"/>
      <c r="T433" s="29"/>
      <c r="U433" s="26" t="str">
        <f t="shared" si="63"/>
        <v/>
      </c>
      <c r="V433" s="26"/>
      <c r="W433" s="26" t="str">
        <f t="shared" si="64"/>
        <v/>
      </c>
      <c r="X433" s="26" t="str">
        <f t="shared" si="65"/>
        <v/>
      </c>
      <c r="Y433" s="26" t="str">
        <f t="shared" si="66"/>
        <v/>
      </c>
      <c r="Z433" s="26" t="str">
        <f t="shared" si="67"/>
        <v/>
      </c>
      <c r="AA433" s="26" t="str">
        <f t="shared" si="68"/>
        <v/>
      </c>
      <c r="AB433" s="5" t="str">
        <f t="shared" si="69"/>
        <v/>
      </c>
    </row>
    <row r="434" spans="1:28" ht="12" customHeight="1">
      <c r="A434" s="22">
        <v>442</v>
      </c>
      <c r="B434" s="30"/>
      <c r="C434" s="30"/>
      <c r="D434" s="29"/>
      <c r="E434" s="29"/>
      <c r="F434" s="29"/>
      <c r="G434" s="29"/>
      <c r="H434" s="29"/>
      <c r="I434" s="25" t="str">
        <f t="shared" si="60"/>
        <v/>
      </c>
      <c r="J434" s="29"/>
      <c r="K434" s="25" t="str">
        <f t="shared" si="61"/>
        <v/>
      </c>
      <c r="L434" s="26" t="str">
        <f t="shared" si="62"/>
        <v/>
      </c>
      <c r="M434" s="29"/>
      <c r="N434" s="29"/>
      <c r="O434" s="29"/>
      <c r="P434" s="29"/>
      <c r="Q434" s="29"/>
      <c r="R434" s="29"/>
      <c r="S434" s="29"/>
      <c r="T434" s="29"/>
      <c r="U434" s="26" t="str">
        <f t="shared" si="63"/>
        <v/>
      </c>
      <c r="V434" s="26"/>
      <c r="W434" s="26" t="str">
        <f t="shared" si="64"/>
        <v/>
      </c>
      <c r="X434" s="26" t="str">
        <f t="shared" si="65"/>
        <v/>
      </c>
      <c r="Y434" s="26" t="str">
        <f t="shared" si="66"/>
        <v/>
      </c>
      <c r="Z434" s="26" t="str">
        <f t="shared" si="67"/>
        <v/>
      </c>
      <c r="AA434" s="26" t="str">
        <f t="shared" si="68"/>
        <v/>
      </c>
      <c r="AB434" s="5" t="str">
        <f t="shared" si="69"/>
        <v/>
      </c>
    </row>
    <row r="435" spans="1:28" ht="12" customHeight="1">
      <c r="A435" s="22">
        <v>443</v>
      </c>
      <c r="B435" s="30"/>
      <c r="C435" s="30"/>
      <c r="D435" s="29"/>
      <c r="E435" s="29"/>
      <c r="F435" s="29"/>
      <c r="G435" s="29"/>
      <c r="H435" s="29"/>
      <c r="I435" s="25" t="str">
        <f t="shared" si="60"/>
        <v/>
      </c>
      <c r="J435" s="29"/>
      <c r="K435" s="25" t="str">
        <f t="shared" si="61"/>
        <v/>
      </c>
      <c r="L435" s="26" t="str">
        <f t="shared" si="62"/>
        <v/>
      </c>
      <c r="M435" s="29"/>
      <c r="N435" s="29"/>
      <c r="O435" s="29"/>
      <c r="P435" s="29"/>
      <c r="Q435" s="29"/>
      <c r="R435" s="29"/>
      <c r="S435" s="29"/>
      <c r="T435" s="29"/>
      <c r="U435" s="26" t="str">
        <f t="shared" si="63"/>
        <v/>
      </c>
      <c r="V435" s="26"/>
      <c r="W435" s="26" t="str">
        <f t="shared" si="64"/>
        <v/>
      </c>
      <c r="X435" s="26" t="str">
        <f t="shared" si="65"/>
        <v/>
      </c>
      <c r="Y435" s="26" t="str">
        <f t="shared" si="66"/>
        <v/>
      </c>
      <c r="Z435" s="26" t="str">
        <f t="shared" si="67"/>
        <v/>
      </c>
      <c r="AA435" s="26" t="str">
        <f t="shared" si="68"/>
        <v/>
      </c>
      <c r="AB435" s="5" t="str">
        <f t="shared" si="69"/>
        <v/>
      </c>
    </row>
    <row r="436" spans="1:28" ht="12" customHeight="1">
      <c r="A436" s="22">
        <v>444</v>
      </c>
      <c r="B436" s="30"/>
      <c r="C436" s="30"/>
      <c r="D436" s="29"/>
      <c r="E436" s="29"/>
      <c r="F436" s="29"/>
      <c r="G436" s="29"/>
      <c r="H436" s="29"/>
      <c r="I436" s="25" t="str">
        <f t="shared" si="60"/>
        <v/>
      </c>
      <c r="J436" s="29"/>
      <c r="K436" s="25" t="str">
        <f t="shared" si="61"/>
        <v/>
      </c>
      <c r="L436" s="26" t="str">
        <f t="shared" si="62"/>
        <v/>
      </c>
      <c r="M436" s="29"/>
      <c r="N436" s="29"/>
      <c r="O436" s="29"/>
      <c r="P436" s="29"/>
      <c r="Q436" s="29"/>
      <c r="R436" s="29"/>
      <c r="S436" s="29"/>
      <c r="T436" s="29"/>
      <c r="U436" s="26" t="str">
        <f t="shared" si="63"/>
        <v/>
      </c>
      <c r="V436" s="26"/>
      <c r="W436" s="26" t="str">
        <f t="shared" si="64"/>
        <v/>
      </c>
      <c r="X436" s="26" t="str">
        <f t="shared" si="65"/>
        <v/>
      </c>
      <c r="Y436" s="26" t="str">
        <f t="shared" si="66"/>
        <v/>
      </c>
      <c r="Z436" s="26" t="str">
        <f t="shared" si="67"/>
        <v/>
      </c>
      <c r="AA436" s="26" t="str">
        <f t="shared" si="68"/>
        <v/>
      </c>
      <c r="AB436" s="5" t="str">
        <f t="shared" si="69"/>
        <v/>
      </c>
    </row>
    <row r="437" spans="1:28" ht="12" customHeight="1">
      <c r="A437" s="22">
        <v>445</v>
      </c>
      <c r="B437" s="30"/>
      <c r="C437" s="30"/>
      <c r="D437" s="29"/>
      <c r="E437" s="29"/>
      <c r="F437" s="29"/>
      <c r="G437" s="29"/>
      <c r="H437" s="29"/>
      <c r="I437" s="25" t="str">
        <f t="shared" si="60"/>
        <v/>
      </c>
      <c r="J437" s="29"/>
      <c r="K437" s="25" t="str">
        <f t="shared" si="61"/>
        <v/>
      </c>
      <c r="L437" s="26" t="str">
        <f t="shared" si="62"/>
        <v/>
      </c>
      <c r="M437" s="29"/>
      <c r="N437" s="29"/>
      <c r="O437" s="29"/>
      <c r="P437" s="29"/>
      <c r="Q437" s="29"/>
      <c r="R437" s="29"/>
      <c r="S437" s="29"/>
      <c r="T437" s="29"/>
      <c r="U437" s="26" t="str">
        <f t="shared" si="63"/>
        <v/>
      </c>
      <c r="V437" s="26"/>
      <c r="W437" s="26" t="str">
        <f t="shared" si="64"/>
        <v/>
      </c>
      <c r="X437" s="26" t="str">
        <f t="shared" si="65"/>
        <v/>
      </c>
      <c r="Y437" s="26" t="str">
        <f t="shared" si="66"/>
        <v/>
      </c>
      <c r="Z437" s="26" t="str">
        <f t="shared" si="67"/>
        <v/>
      </c>
      <c r="AA437" s="26" t="str">
        <f t="shared" si="68"/>
        <v/>
      </c>
      <c r="AB437" s="5" t="str">
        <f t="shared" si="69"/>
        <v/>
      </c>
    </row>
    <row r="438" spans="1:28" ht="12" customHeight="1">
      <c r="A438" s="22">
        <v>446</v>
      </c>
      <c r="B438" s="30"/>
      <c r="C438" s="30"/>
      <c r="D438" s="29"/>
      <c r="E438" s="29"/>
      <c r="F438" s="29"/>
      <c r="G438" s="29"/>
      <c r="H438" s="29"/>
      <c r="I438" s="25" t="str">
        <f t="shared" si="60"/>
        <v/>
      </c>
      <c r="J438" s="29"/>
      <c r="K438" s="25" t="str">
        <f t="shared" si="61"/>
        <v/>
      </c>
      <c r="L438" s="26" t="str">
        <f t="shared" si="62"/>
        <v/>
      </c>
      <c r="M438" s="29"/>
      <c r="N438" s="29"/>
      <c r="O438" s="29"/>
      <c r="P438" s="29"/>
      <c r="Q438" s="29"/>
      <c r="R438" s="29"/>
      <c r="S438" s="29"/>
      <c r="T438" s="29"/>
      <c r="U438" s="26" t="str">
        <f t="shared" si="63"/>
        <v/>
      </c>
      <c r="V438" s="26"/>
      <c r="W438" s="26" t="str">
        <f t="shared" si="64"/>
        <v/>
      </c>
      <c r="X438" s="26" t="str">
        <f t="shared" si="65"/>
        <v/>
      </c>
      <c r="Y438" s="26" t="str">
        <f t="shared" si="66"/>
        <v/>
      </c>
      <c r="Z438" s="26" t="str">
        <f t="shared" si="67"/>
        <v/>
      </c>
      <c r="AA438" s="26" t="str">
        <f t="shared" si="68"/>
        <v/>
      </c>
      <c r="AB438" s="5" t="str">
        <f t="shared" si="69"/>
        <v/>
      </c>
    </row>
    <row r="439" spans="1:28" ht="12" customHeight="1">
      <c r="A439" s="22">
        <v>447</v>
      </c>
      <c r="B439" s="30"/>
      <c r="C439" s="30"/>
      <c r="D439" s="29"/>
      <c r="E439" s="29"/>
      <c r="F439" s="29"/>
      <c r="G439" s="29"/>
      <c r="H439" s="29"/>
      <c r="I439" s="25" t="str">
        <f t="shared" si="60"/>
        <v/>
      </c>
      <c r="J439" s="29"/>
      <c r="K439" s="25" t="str">
        <f t="shared" si="61"/>
        <v/>
      </c>
      <c r="L439" s="26" t="str">
        <f t="shared" si="62"/>
        <v/>
      </c>
      <c r="M439" s="29"/>
      <c r="N439" s="29"/>
      <c r="O439" s="29"/>
      <c r="P439" s="29"/>
      <c r="Q439" s="29"/>
      <c r="R439" s="29"/>
      <c r="S439" s="29"/>
      <c r="T439" s="29"/>
      <c r="U439" s="26" t="str">
        <f t="shared" si="63"/>
        <v/>
      </c>
      <c r="V439" s="26"/>
      <c r="W439" s="26" t="str">
        <f t="shared" si="64"/>
        <v/>
      </c>
      <c r="X439" s="26" t="str">
        <f t="shared" si="65"/>
        <v/>
      </c>
      <c r="Y439" s="26" t="str">
        <f t="shared" si="66"/>
        <v/>
      </c>
      <c r="Z439" s="26" t="str">
        <f t="shared" si="67"/>
        <v/>
      </c>
      <c r="AA439" s="26" t="str">
        <f t="shared" si="68"/>
        <v/>
      </c>
      <c r="AB439" s="5" t="str">
        <f t="shared" si="69"/>
        <v/>
      </c>
    </row>
    <row r="440" spans="1:28" ht="12" customHeight="1">
      <c r="A440" s="22">
        <v>448</v>
      </c>
      <c r="B440" s="30"/>
      <c r="C440" s="30"/>
      <c r="D440" s="29"/>
      <c r="E440" s="29"/>
      <c r="F440" s="29"/>
      <c r="G440" s="29"/>
      <c r="H440" s="29"/>
      <c r="I440" s="25" t="str">
        <f t="shared" si="60"/>
        <v/>
      </c>
      <c r="J440" s="29"/>
      <c r="K440" s="25" t="str">
        <f t="shared" si="61"/>
        <v/>
      </c>
      <c r="L440" s="26" t="str">
        <f t="shared" si="62"/>
        <v/>
      </c>
      <c r="M440" s="29"/>
      <c r="N440" s="29"/>
      <c r="O440" s="29"/>
      <c r="P440" s="29"/>
      <c r="Q440" s="29"/>
      <c r="R440" s="29"/>
      <c r="S440" s="29"/>
      <c r="T440" s="29"/>
      <c r="U440" s="26" t="str">
        <f t="shared" si="63"/>
        <v/>
      </c>
      <c r="V440" s="26"/>
      <c r="W440" s="26" t="str">
        <f t="shared" si="64"/>
        <v/>
      </c>
      <c r="X440" s="26" t="str">
        <f t="shared" si="65"/>
        <v/>
      </c>
      <c r="Y440" s="26" t="str">
        <f t="shared" si="66"/>
        <v/>
      </c>
      <c r="Z440" s="26" t="str">
        <f t="shared" si="67"/>
        <v/>
      </c>
      <c r="AA440" s="26" t="str">
        <f t="shared" si="68"/>
        <v/>
      </c>
      <c r="AB440" s="5" t="str">
        <f t="shared" si="69"/>
        <v/>
      </c>
    </row>
    <row r="441" spans="1:28" ht="12" customHeight="1">
      <c r="A441" s="22">
        <v>449</v>
      </c>
      <c r="B441" s="30"/>
      <c r="C441" s="30"/>
      <c r="D441" s="29"/>
      <c r="E441" s="29"/>
      <c r="F441" s="29"/>
      <c r="G441" s="29"/>
      <c r="H441" s="29"/>
      <c r="I441" s="25" t="str">
        <f t="shared" si="60"/>
        <v/>
      </c>
      <c r="J441" s="29"/>
      <c r="K441" s="25" t="str">
        <f t="shared" si="61"/>
        <v/>
      </c>
      <c r="L441" s="26" t="str">
        <f t="shared" si="62"/>
        <v/>
      </c>
      <c r="M441" s="29"/>
      <c r="N441" s="29"/>
      <c r="O441" s="29"/>
      <c r="P441" s="29"/>
      <c r="Q441" s="29"/>
      <c r="R441" s="29"/>
      <c r="S441" s="29"/>
      <c r="T441" s="29"/>
      <c r="U441" s="26" t="str">
        <f t="shared" si="63"/>
        <v/>
      </c>
      <c r="V441" s="26"/>
      <c r="W441" s="26" t="str">
        <f t="shared" si="64"/>
        <v/>
      </c>
      <c r="X441" s="26" t="str">
        <f t="shared" si="65"/>
        <v/>
      </c>
      <c r="Y441" s="26" t="str">
        <f t="shared" si="66"/>
        <v/>
      </c>
      <c r="Z441" s="26" t="str">
        <f t="shared" si="67"/>
        <v/>
      </c>
      <c r="AA441" s="26" t="str">
        <f t="shared" si="68"/>
        <v/>
      </c>
      <c r="AB441" s="5" t="str">
        <f t="shared" si="69"/>
        <v/>
      </c>
    </row>
    <row r="442" spans="1:28" ht="12" customHeight="1">
      <c r="A442" s="22">
        <v>450</v>
      </c>
      <c r="B442" s="30"/>
      <c r="C442" s="30"/>
      <c r="D442" s="29"/>
      <c r="E442" s="29"/>
      <c r="F442" s="29"/>
      <c r="G442" s="29"/>
      <c r="H442" s="29"/>
      <c r="I442" s="25" t="str">
        <f t="shared" si="60"/>
        <v/>
      </c>
      <c r="J442" s="29"/>
      <c r="K442" s="25" t="str">
        <f t="shared" si="61"/>
        <v/>
      </c>
      <c r="L442" s="26" t="str">
        <f t="shared" si="62"/>
        <v/>
      </c>
      <c r="M442" s="29"/>
      <c r="N442" s="29"/>
      <c r="O442" s="29"/>
      <c r="P442" s="29"/>
      <c r="Q442" s="29"/>
      <c r="R442" s="29"/>
      <c r="S442" s="29"/>
      <c r="T442" s="29"/>
      <c r="U442" s="26" t="str">
        <f t="shared" si="63"/>
        <v/>
      </c>
      <c r="V442" s="26"/>
      <c r="W442" s="26" t="str">
        <f t="shared" si="64"/>
        <v/>
      </c>
      <c r="X442" s="26" t="str">
        <f t="shared" si="65"/>
        <v/>
      </c>
      <c r="Y442" s="26" t="str">
        <f t="shared" si="66"/>
        <v/>
      </c>
      <c r="Z442" s="26" t="str">
        <f t="shared" si="67"/>
        <v/>
      </c>
      <c r="AA442" s="26" t="str">
        <f t="shared" si="68"/>
        <v/>
      </c>
      <c r="AB442" s="5" t="str">
        <f t="shared" si="69"/>
        <v/>
      </c>
    </row>
    <row r="443" spans="1:28" ht="12" customHeight="1">
      <c r="A443" s="22">
        <v>451</v>
      </c>
      <c r="B443" s="30"/>
      <c r="C443" s="30"/>
      <c r="D443" s="29"/>
      <c r="E443" s="29"/>
      <c r="F443" s="29"/>
      <c r="G443" s="29"/>
      <c r="H443" s="29"/>
      <c r="I443" s="25" t="str">
        <f t="shared" si="60"/>
        <v/>
      </c>
      <c r="J443" s="29"/>
      <c r="K443" s="25" t="str">
        <f t="shared" si="61"/>
        <v/>
      </c>
      <c r="L443" s="26" t="str">
        <f t="shared" si="62"/>
        <v/>
      </c>
      <c r="M443" s="29"/>
      <c r="N443" s="29"/>
      <c r="O443" s="29"/>
      <c r="P443" s="29"/>
      <c r="Q443" s="29"/>
      <c r="R443" s="29"/>
      <c r="S443" s="29"/>
      <c r="T443" s="29"/>
      <c r="U443" s="26" t="str">
        <f t="shared" si="63"/>
        <v/>
      </c>
      <c r="V443" s="26"/>
      <c r="W443" s="26" t="str">
        <f t="shared" si="64"/>
        <v/>
      </c>
      <c r="X443" s="26" t="str">
        <f t="shared" si="65"/>
        <v/>
      </c>
      <c r="Y443" s="26" t="str">
        <f t="shared" si="66"/>
        <v/>
      </c>
      <c r="Z443" s="26" t="str">
        <f t="shared" si="67"/>
        <v/>
      </c>
      <c r="AA443" s="26" t="str">
        <f t="shared" si="68"/>
        <v/>
      </c>
      <c r="AB443" s="5" t="str">
        <f t="shared" si="69"/>
        <v/>
      </c>
    </row>
    <row r="444" spans="1:28" ht="12" customHeight="1">
      <c r="A444" s="22">
        <v>452</v>
      </c>
      <c r="B444" s="30"/>
      <c r="C444" s="30"/>
      <c r="D444" s="29"/>
      <c r="E444" s="29"/>
      <c r="F444" s="29"/>
      <c r="G444" s="29"/>
      <c r="H444" s="29"/>
      <c r="I444" s="25" t="str">
        <f t="shared" si="60"/>
        <v/>
      </c>
      <c r="J444" s="29"/>
      <c r="K444" s="25" t="str">
        <f t="shared" si="61"/>
        <v/>
      </c>
      <c r="L444" s="26" t="str">
        <f t="shared" si="62"/>
        <v/>
      </c>
      <c r="M444" s="29"/>
      <c r="N444" s="29"/>
      <c r="O444" s="29"/>
      <c r="P444" s="29"/>
      <c r="Q444" s="29"/>
      <c r="R444" s="29"/>
      <c r="S444" s="29"/>
      <c r="T444" s="29"/>
      <c r="U444" s="26" t="str">
        <f t="shared" si="63"/>
        <v/>
      </c>
      <c r="V444" s="26"/>
      <c r="W444" s="26" t="str">
        <f t="shared" si="64"/>
        <v/>
      </c>
      <c r="X444" s="26" t="str">
        <f t="shared" si="65"/>
        <v/>
      </c>
      <c r="Y444" s="26" t="str">
        <f t="shared" si="66"/>
        <v/>
      </c>
      <c r="Z444" s="26" t="str">
        <f t="shared" si="67"/>
        <v/>
      </c>
      <c r="AA444" s="26" t="str">
        <f t="shared" si="68"/>
        <v/>
      </c>
      <c r="AB444" s="5" t="str">
        <f t="shared" si="69"/>
        <v/>
      </c>
    </row>
    <row r="445" spans="1:28" ht="12" customHeight="1">
      <c r="A445" s="22">
        <v>453</v>
      </c>
      <c r="B445" s="30"/>
      <c r="C445" s="30"/>
      <c r="D445" s="29"/>
      <c r="E445" s="29"/>
      <c r="F445" s="29"/>
      <c r="G445" s="29"/>
      <c r="H445" s="29"/>
      <c r="I445" s="25" t="str">
        <f t="shared" si="60"/>
        <v/>
      </c>
      <c r="J445" s="29"/>
      <c r="K445" s="25" t="str">
        <f t="shared" si="61"/>
        <v/>
      </c>
      <c r="L445" s="26" t="str">
        <f t="shared" si="62"/>
        <v/>
      </c>
      <c r="M445" s="29"/>
      <c r="N445" s="29"/>
      <c r="O445" s="29"/>
      <c r="P445" s="29"/>
      <c r="Q445" s="29"/>
      <c r="R445" s="29"/>
      <c r="S445" s="29"/>
      <c r="T445" s="29"/>
      <c r="U445" s="26" t="str">
        <f t="shared" si="63"/>
        <v/>
      </c>
      <c r="V445" s="26"/>
      <c r="W445" s="26" t="str">
        <f t="shared" si="64"/>
        <v/>
      </c>
      <c r="X445" s="26" t="str">
        <f t="shared" si="65"/>
        <v/>
      </c>
      <c r="Y445" s="26" t="str">
        <f t="shared" si="66"/>
        <v/>
      </c>
      <c r="Z445" s="26" t="str">
        <f t="shared" si="67"/>
        <v/>
      </c>
      <c r="AA445" s="26" t="str">
        <f t="shared" si="68"/>
        <v/>
      </c>
      <c r="AB445" s="5" t="str">
        <f t="shared" si="69"/>
        <v/>
      </c>
    </row>
    <row r="446" spans="1:28" ht="12" customHeight="1">
      <c r="A446" s="22">
        <v>454</v>
      </c>
      <c r="B446" s="30"/>
      <c r="C446" s="30"/>
      <c r="D446" s="29"/>
      <c r="E446" s="29"/>
      <c r="F446" s="29"/>
      <c r="G446" s="29"/>
      <c r="H446" s="29"/>
      <c r="I446" s="25" t="str">
        <f t="shared" si="60"/>
        <v/>
      </c>
      <c r="J446" s="29"/>
      <c r="K446" s="25" t="str">
        <f t="shared" si="61"/>
        <v/>
      </c>
      <c r="L446" s="26" t="str">
        <f t="shared" si="62"/>
        <v/>
      </c>
      <c r="M446" s="29"/>
      <c r="N446" s="29"/>
      <c r="O446" s="29"/>
      <c r="P446" s="29"/>
      <c r="Q446" s="29"/>
      <c r="R446" s="29"/>
      <c r="S446" s="29"/>
      <c r="T446" s="29"/>
      <c r="U446" s="26" t="str">
        <f t="shared" si="63"/>
        <v/>
      </c>
      <c r="V446" s="26"/>
      <c r="W446" s="26" t="str">
        <f t="shared" si="64"/>
        <v/>
      </c>
      <c r="X446" s="26" t="str">
        <f t="shared" si="65"/>
        <v/>
      </c>
      <c r="Y446" s="26" t="str">
        <f t="shared" si="66"/>
        <v/>
      </c>
      <c r="Z446" s="26" t="str">
        <f t="shared" si="67"/>
        <v/>
      </c>
      <c r="AA446" s="26" t="str">
        <f t="shared" si="68"/>
        <v/>
      </c>
      <c r="AB446" s="5" t="str">
        <f t="shared" si="69"/>
        <v/>
      </c>
    </row>
    <row r="447" spans="1:28" ht="12" customHeight="1">
      <c r="A447" s="22">
        <v>455</v>
      </c>
      <c r="B447" s="30"/>
      <c r="C447" s="30"/>
      <c r="D447" s="29"/>
      <c r="E447" s="29"/>
      <c r="F447" s="29"/>
      <c r="G447" s="29"/>
      <c r="H447" s="29"/>
      <c r="I447" s="25" t="str">
        <f t="shared" si="60"/>
        <v/>
      </c>
      <c r="J447" s="29"/>
      <c r="K447" s="25" t="str">
        <f t="shared" si="61"/>
        <v/>
      </c>
      <c r="L447" s="26" t="str">
        <f t="shared" si="62"/>
        <v/>
      </c>
      <c r="M447" s="29"/>
      <c r="N447" s="29"/>
      <c r="O447" s="29"/>
      <c r="P447" s="29"/>
      <c r="Q447" s="29"/>
      <c r="R447" s="29"/>
      <c r="S447" s="29"/>
      <c r="T447" s="29"/>
      <c r="U447" s="26" t="str">
        <f t="shared" si="63"/>
        <v/>
      </c>
      <c r="V447" s="26"/>
      <c r="W447" s="26" t="str">
        <f t="shared" si="64"/>
        <v/>
      </c>
      <c r="X447" s="26" t="str">
        <f t="shared" si="65"/>
        <v/>
      </c>
      <c r="Y447" s="26" t="str">
        <f t="shared" si="66"/>
        <v/>
      </c>
      <c r="Z447" s="26" t="str">
        <f t="shared" si="67"/>
        <v/>
      </c>
      <c r="AA447" s="26" t="str">
        <f t="shared" si="68"/>
        <v/>
      </c>
      <c r="AB447" s="5" t="str">
        <f t="shared" si="69"/>
        <v/>
      </c>
    </row>
    <row r="448" spans="1:28" ht="12" customHeight="1">
      <c r="A448" s="22">
        <v>456</v>
      </c>
      <c r="B448" s="30"/>
      <c r="C448" s="30"/>
      <c r="D448" s="29"/>
      <c r="E448" s="29"/>
      <c r="F448" s="29"/>
      <c r="G448" s="29"/>
      <c r="H448" s="29"/>
      <c r="I448" s="25" t="str">
        <f t="shared" si="60"/>
        <v/>
      </c>
      <c r="J448" s="29"/>
      <c r="K448" s="25" t="str">
        <f t="shared" si="61"/>
        <v/>
      </c>
      <c r="L448" s="26" t="str">
        <f t="shared" si="62"/>
        <v/>
      </c>
      <c r="M448" s="29"/>
      <c r="N448" s="29"/>
      <c r="O448" s="29"/>
      <c r="P448" s="29"/>
      <c r="Q448" s="29"/>
      <c r="R448" s="29"/>
      <c r="S448" s="29"/>
      <c r="T448" s="29"/>
      <c r="U448" s="26" t="str">
        <f t="shared" si="63"/>
        <v/>
      </c>
      <c r="V448" s="26"/>
      <c r="W448" s="26" t="str">
        <f t="shared" si="64"/>
        <v/>
      </c>
      <c r="X448" s="26" t="str">
        <f t="shared" si="65"/>
        <v/>
      </c>
      <c r="Y448" s="26" t="str">
        <f t="shared" si="66"/>
        <v/>
      </c>
      <c r="Z448" s="26" t="str">
        <f t="shared" si="67"/>
        <v/>
      </c>
      <c r="AA448" s="26" t="str">
        <f t="shared" si="68"/>
        <v/>
      </c>
      <c r="AB448" s="5" t="str">
        <f t="shared" si="69"/>
        <v/>
      </c>
    </row>
    <row r="449" spans="1:28" ht="12" customHeight="1">
      <c r="A449" s="22">
        <v>457</v>
      </c>
      <c r="B449" s="30"/>
      <c r="C449" s="30"/>
      <c r="D449" s="29"/>
      <c r="E449" s="29"/>
      <c r="F449" s="29"/>
      <c r="G449" s="29"/>
      <c r="H449" s="29"/>
      <c r="I449" s="25" t="str">
        <f t="shared" si="60"/>
        <v/>
      </c>
      <c r="J449" s="29"/>
      <c r="K449" s="25" t="str">
        <f t="shared" si="61"/>
        <v/>
      </c>
      <c r="L449" s="26" t="str">
        <f t="shared" si="62"/>
        <v/>
      </c>
      <c r="M449" s="29"/>
      <c r="N449" s="29"/>
      <c r="O449" s="29"/>
      <c r="P449" s="29"/>
      <c r="Q449" s="29"/>
      <c r="R449" s="29"/>
      <c r="S449" s="29"/>
      <c r="T449" s="29"/>
      <c r="U449" s="26" t="str">
        <f t="shared" si="63"/>
        <v/>
      </c>
      <c r="V449" s="26"/>
      <c r="W449" s="26" t="str">
        <f t="shared" si="64"/>
        <v/>
      </c>
      <c r="X449" s="26" t="str">
        <f t="shared" si="65"/>
        <v/>
      </c>
      <c r="Y449" s="26" t="str">
        <f t="shared" si="66"/>
        <v/>
      </c>
      <c r="Z449" s="26" t="str">
        <f t="shared" si="67"/>
        <v/>
      </c>
      <c r="AA449" s="26" t="str">
        <f t="shared" si="68"/>
        <v/>
      </c>
      <c r="AB449" s="5" t="str">
        <f t="shared" si="69"/>
        <v/>
      </c>
    </row>
    <row r="450" spans="1:28" ht="12" customHeight="1">
      <c r="A450" s="22">
        <v>458</v>
      </c>
      <c r="B450" s="30"/>
      <c r="C450" s="30"/>
      <c r="D450" s="29"/>
      <c r="E450" s="29"/>
      <c r="F450" s="29"/>
      <c r="G450" s="29"/>
      <c r="H450" s="29"/>
      <c r="I450" s="25" t="str">
        <f t="shared" si="60"/>
        <v/>
      </c>
      <c r="J450" s="29"/>
      <c r="K450" s="25" t="str">
        <f t="shared" si="61"/>
        <v/>
      </c>
      <c r="L450" s="26" t="str">
        <f t="shared" si="62"/>
        <v/>
      </c>
      <c r="M450" s="29"/>
      <c r="N450" s="29"/>
      <c r="O450" s="29"/>
      <c r="P450" s="29"/>
      <c r="Q450" s="29"/>
      <c r="R450" s="29"/>
      <c r="S450" s="29"/>
      <c r="T450" s="29"/>
      <c r="U450" s="26" t="str">
        <f t="shared" si="63"/>
        <v/>
      </c>
      <c r="V450" s="26"/>
      <c r="W450" s="26" t="str">
        <f t="shared" si="64"/>
        <v/>
      </c>
      <c r="X450" s="26" t="str">
        <f t="shared" si="65"/>
        <v/>
      </c>
      <c r="Y450" s="26" t="str">
        <f t="shared" si="66"/>
        <v/>
      </c>
      <c r="Z450" s="26" t="str">
        <f t="shared" si="67"/>
        <v/>
      </c>
      <c r="AA450" s="26" t="str">
        <f t="shared" si="68"/>
        <v/>
      </c>
      <c r="AB450" s="5" t="str">
        <f t="shared" si="69"/>
        <v/>
      </c>
    </row>
    <row r="451" spans="1:28" ht="12" customHeight="1">
      <c r="A451" s="22">
        <v>459</v>
      </c>
      <c r="B451" s="30"/>
      <c r="C451" s="30"/>
      <c r="D451" s="29"/>
      <c r="E451" s="29"/>
      <c r="F451" s="29"/>
      <c r="G451" s="29"/>
      <c r="H451" s="29"/>
      <c r="I451" s="25" t="str">
        <f t="shared" si="60"/>
        <v/>
      </c>
      <c r="J451" s="29"/>
      <c r="K451" s="25" t="str">
        <f t="shared" si="61"/>
        <v/>
      </c>
      <c r="L451" s="26" t="str">
        <f t="shared" si="62"/>
        <v/>
      </c>
      <c r="M451" s="29"/>
      <c r="N451" s="29"/>
      <c r="O451" s="29"/>
      <c r="P451" s="29"/>
      <c r="Q451" s="29"/>
      <c r="R451" s="29"/>
      <c r="S451" s="29"/>
      <c r="T451" s="29"/>
      <c r="U451" s="26" t="str">
        <f t="shared" si="63"/>
        <v/>
      </c>
      <c r="V451" s="26"/>
      <c r="W451" s="26" t="str">
        <f t="shared" si="64"/>
        <v/>
      </c>
      <c r="X451" s="26" t="str">
        <f t="shared" si="65"/>
        <v/>
      </c>
      <c r="Y451" s="26" t="str">
        <f t="shared" si="66"/>
        <v/>
      </c>
      <c r="Z451" s="26" t="str">
        <f t="shared" si="67"/>
        <v/>
      </c>
      <c r="AA451" s="26" t="str">
        <f t="shared" si="68"/>
        <v/>
      </c>
      <c r="AB451" s="5" t="str">
        <f t="shared" si="69"/>
        <v/>
      </c>
    </row>
    <row r="452" spans="1:28" ht="12" customHeight="1">
      <c r="A452" s="22">
        <v>460</v>
      </c>
      <c r="B452" s="30"/>
      <c r="C452" s="30"/>
      <c r="D452" s="29"/>
      <c r="E452" s="29"/>
      <c r="F452" s="29"/>
      <c r="G452" s="29"/>
      <c r="H452" s="29"/>
      <c r="I452" s="25" t="str">
        <f t="shared" si="60"/>
        <v/>
      </c>
      <c r="J452" s="29"/>
      <c r="K452" s="25" t="str">
        <f t="shared" si="61"/>
        <v/>
      </c>
      <c r="L452" s="26" t="str">
        <f t="shared" si="62"/>
        <v/>
      </c>
      <c r="M452" s="29"/>
      <c r="N452" s="29"/>
      <c r="O452" s="29"/>
      <c r="P452" s="29"/>
      <c r="Q452" s="29"/>
      <c r="R452" s="29"/>
      <c r="S452" s="29"/>
      <c r="T452" s="29"/>
      <c r="U452" s="26" t="str">
        <f t="shared" si="63"/>
        <v/>
      </c>
      <c r="V452" s="26"/>
      <c r="W452" s="26" t="str">
        <f t="shared" si="64"/>
        <v/>
      </c>
      <c r="X452" s="26" t="str">
        <f t="shared" si="65"/>
        <v/>
      </c>
      <c r="Y452" s="26" t="str">
        <f t="shared" si="66"/>
        <v/>
      </c>
      <c r="Z452" s="26" t="str">
        <f t="shared" si="67"/>
        <v/>
      </c>
      <c r="AA452" s="26" t="str">
        <f t="shared" si="68"/>
        <v/>
      </c>
      <c r="AB452" s="5" t="str">
        <f t="shared" si="69"/>
        <v/>
      </c>
    </row>
    <row r="453" spans="1:28" ht="12" customHeight="1">
      <c r="A453" s="22">
        <v>461</v>
      </c>
      <c r="B453" s="30"/>
      <c r="C453" s="30"/>
      <c r="D453" s="29"/>
      <c r="E453" s="29"/>
      <c r="F453" s="29"/>
      <c r="G453" s="29"/>
      <c r="H453" s="29"/>
      <c r="I453" s="25" t="str">
        <f t="shared" si="60"/>
        <v/>
      </c>
      <c r="J453" s="29"/>
      <c r="K453" s="25" t="str">
        <f t="shared" si="61"/>
        <v/>
      </c>
      <c r="L453" s="26" t="str">
        <f t="shared" si="62"/>
        <v/>
      </c>
      <c r="M453" s="29"/>
      <c r="N453" s="29"/>
      <c r="O453" s="29"/>
      <c r="P453" s="29"/>
      <c r="Q453" s="29"/>
      <c r="R453" s="29"/>
      <c r="S453" s="29"/>
      <c r="T453" s="29"/>
      <c r="U453" s="26" t="str">
        <f t="shared" si="63"/>
        <v/>
      </c>
      <c r="V453" s="26"/>
      <c r="W453" s="26" t="str">
        <f t="shared" si="64"/>
        <v/>
      </c>
      <c r="X453" s="26" t="str">
        <f t="shared" si="65"/>
        <v/>
      </c>
      <c r="Y453" s="26" t="str">
        <f t="shared" si="66"/>
        <v/>
      </c>
      <c r="Z453" s="26" t="str">
        <f t="shared" si="67"/>
        <v/>
      </c>
      <c r="AA453" s="26" t="str">
        <f t="shared" si="68"/>
        <v/>
      </c>
      <c r="AB453" s="5" t="str">
        <f t="shared" si="69"/>
        <v/>
      </c>
    </row>
    <row r="454" spans="1:28" ht="12" customHeight="1">
      <c r="A454" s="22">
        <v>462</v>
      </c>
      <c r="B454" s="30"/>
      <c r="C454" s="30"/>
      <c r="D454" s="29"/>
      <c r="E454" s="29"/>
      <c r="F454" s="29"/>
      <c r="G454" s="29"/>
      <c r="H454" s="29"/>
      <c r="I454" s="25" t="str">
        <f t="shared" ref="I454:I517" si="70">IFERROR(IF(H454="Unlikely",1,IF(H454="Possible",2,IF(H454="Likely",3,IF(H454="Almost Certain",4,IF(H454="Certain",5,""))))),"")</f>
        <v/>
      </c>
      <c r="J454" s="29"/>
      <c r="K454" s="25" t="str">
        <f t="shared" ref="K454:K517" si="71">IFERROR(IF(J454="Negligible",1,IF(J454="Minor",2,IF(J454="Moderate",3,IF(J454="Major",4,IF(J454="Critical",5,""))))),"")</f>
        <v/>
      </c>
      <c r="L454" s="26" t="str">
        <f t="shared" ref="L454:L517" si="72">IF(OR(I454="",K454=""),"",I454*K454)</f>
        <v/>
      </c>
      <c r="M454" s="29"/>
      <c r="N454" s="29"/>
      <c r="O454" s="29"/>
      <c r="P454" s="29"/>
      <c r="Q454" s="29"/>
      <c r="R454" s="29"/>
      <c r="S454" s="29"/>
      <c r="T454" s="29"/>
      <c r="U454" s="26" t="str">
        <f t="shared" ref="U454:U517" si="73">IF(L454="","",IF(L454&lt;=4,"Low",IF(L454&lt;=9,"Medium",IF(L454&lt;=15,"High","Critical"))))</f>
        <v/>
      </c>
      <c r="V454" s="26"/>
      <c r="W454" s="26" t="str">
        <f t="shared" ref="W454:W517" si="74">IF(I454="","",MAX(1,I454-(IF(V454="Limited",1,IF(V454="Partial",2,IF(V454="Substantial",3,IF(V454="Highly Effective",4,0)))))))</f>
        <v/>
      </c>
      <c r="X454" s="26" t="str">
        <f t="shared" ref="X454:X517" si="75">IF(K454="","",MAX(1,K454-ROUNDDOWN((IF(V454="Limited",1,IF(V454="Partial",2,IF(V454="Substantial",3,IF(V454="Highly Effective",4,0)))))/2,0)))</f>
        <v/>
      </c>
      <c r="Y454" s="26" t="str">
        <f t="shared" ref="Y454:Y517" si="76">IF(OR(W454="",X454=""),"",W454*X454)</f>
        <v/>
      </c>
      <c r="Z454" s="26" t="str">
        <f t="shared" ref="Z454:Z517" si="77">IF(Y454="","",IF(Y454&lt;=4,"Low",IF(Y454&lt;=9,"Medium",IF(Y454&lt;=15,"High","Critical"))))</f>
        <v/>
      </c>
      <c r="AA454" s="26" t="str">
        <f t="shared" ref="AA454:AA517" si="78">IF(OR(L454="",Y454=""),"",IF(Y454&lt;L454,"Reduced by "&amp;(L454-Y454)&amp;" pts",IF(Y454=L454,"No Change","Increased by "&amp;(Y454-L454)&amp;" pts")))</f>
        <v/>
      </c>
      <c r="AB454" s="5" t="str">
        <f t="shared" ref="AB454:AB517" si="79">IF(Y454="","",Y454+(ROW()/10000000))</f>
        <v/>
      </c>
    </row>
    <row r="455" spans="1:28" ht="12" customHeight="1">
      <c r="A455" s="22">
        <v>463</v>
      </c>
      <c r="B455" s="30"/>
      <c r="C455" s="30"/>
      <c r="D455" s="29"/>
      <c r="E455" s="29"/>
      <c r="F455" s="29"/>
      <c r="G455" s="29"/>
      <c r="H455" s="29"/>
      <c r="I455" s="25" t="str">
        <f t="shared" si="70"/>
        <v/>
      </c>
      <c r="J455" s="29"/>
      <c r="K455" s="25" t="str">
        <f t="shared" si="71"/>
        <v/>
      </c>
      <c r="L455" s="26" t="str">
        <f t="shared" si="72"/>
        <v/>
      </c>
      <c r="M455" s="29"/>
      <c r="N455" s="29"/>
      <c r="O455" s="29"/>
      <c r="P455" s="29"/>
      <c r="Q455" s="29"/>
      <c r="R455" s="29"/>
      <c r="S455" s="29"/>
      <c r="T455" s="29"/>
      <c r="U455" s="26" t="str">
        <f t="shared" si="73"/>
        <v/>
      </c>
      <c r="V455" s="26"/>
      <c r="W455" s="26" t="str">
        <f t="shared" si="74"/>
        <v/>
      </c>
      <c r="X455" s="26" t="str">
        <f t="shared" si="75"/>
        <v/>
      </c>
      <c r="Y455" s="26" t="str">
        <f t="shared" si="76"/>
        <v/>
      </c>
      <c r="Z455" s="26" t="str">
        <f t="shared" si="77"/>
        <v/>
      </c>
      <c r="AA455" s="26" t="str">
        <f t="shared" si="78"/>
        <v/>
      </c>
      <c r="AB455" s="5" t="str">
        <f t="shared" si="79"/>
        <v/>
      </c>
    </row>
    <row r="456" spans="1:28" ht="12" customHeight="1">
      <c r="A456" s="22">
        <v>464</v>
      </c>
      <c r="B456" s="30"/>
      <c r="C456" s="30"/>
      <c r="D456" s="29"/>
      <c r="E456" s="29"/>
      <c r="F456" s="29"/>
      <c r="G456" s="29"/>
      <c r="H456" s="29"/>
      <c r="I456" s="25" t="str">
        <f t="shared" si="70"/>
        <v/>
      </c>
      <c r="J456" s="29"/>
      <c r="K456" s="25" t="str">
        <f t="shared" si="71"/>
        <v/>
      </c>
      <c r="L456" s="26" t="str">
        <f t="shared" si="72"/>
        <v/>
      </c>
      <c r="M456" s="29"/>
      <c r="N456" s="29"/>
      <c r="O456" s="29"/>
      <c r="P456" s="29"/>
      <c r="Q456" s="29"/>
      <c r="R456" s="29"/>
      <c r="S456" s="29"/>
      <c r="T456" s="29"/>
      <c r="U456" s="26" t="str">
        <f t="shared" si="73"/>
        <v/>
      </c>
      <c r="V456" s="26"/>
      <c r="W456" s="26" t="str">
        <f t="shared" si="74"/>
        <v/>
      </c>
      <c r="X456" s="26" t="str">
        <f t="shared" si="75"/>
        <v/>
      </c>
      <c r="Y456" s="26" t="str">
        <f t="shared" si="76"/>
        <v/>
      </c>
      <c r="Z456" s="26" t="str">
        <f t="shared" si="77"/>
        <v/>
      </c>
      <c r="AA456" s="26" t="str">
        <f t="shared" si="78"/>
        <v/>
      </c>
      <c r="AB456" s="5" t="str">
        <f t="shared" si="79"/>
        <v/>
      </c>
    </row>
    <row r="457" spans="1:28" ht="12" customHeight="1">
      <c r="A457" s="22">
        <v>465</v>
      </c>
      <c r="B457" s="30"/>
      <c r="C457" s="30"/>
      <c r="D457" s="29"/>
      <c r="E457" s="29"/>
      <c r="F457" s="29"/>
      <c r="G457" s="29"/>
      <c r="H457" s="29"/>
      <c r="I457" s="25" t="str">
        <f t="shared" si="70"/>
        <v/>
      </c>
      <c r="J457" s="29"/>
      <c r="K457" s="25" t="str">
        <f t="shared" si="71"/>
        <v/>
      </c>
      <c r="L457" s="26" t="str">
        <f t="shared" si="72"/>
        <v/>
      </c>
      <c r="M457" s="29"/>
      <c r="N457" s="29"/>
      <c r="O457" s="29"/>
      <c r="P457" s="29"/>
      <c r="Q457" s="29"/>
      <c r="R457" s="29"/>
      <c r="S457" s="29"/>
      <c r="T457" s="29"/>
      <c r="U457" s="26" t="str">
        <f t="shared" si="73"/>
        <v/>
      </c>
      <c r="V457" s="26"/>
      <c r="W457" s="26" t="str">
        <f t="shared" si="74"/>
        <v/>
      </c>
      <c r="X457" s="26" t="str">
        <f t="shared" si="75"/>
        <v/>
      </c>
      <c r="Y457" s="26" t="str">
        <f t="shared" si="76"/>
        <v/>
      </c>
      <c r="Z457" s="26" t="str">
        <f t="shared" si="77"/>
        <v/>
      </c>
      <c r="AA457" s="26" t="str">
        <f t="shared" si="78"/>
        <v/>
      </c>
      <c r="AB457" s="5" t="str">
        <f t="shared" si="79"/>
        <v/>
      </c>
    </row>
    <row r="458" spans="1:28" ht="12" customHeight="1">
      <c r="A458" s="22">
        <v>466</v>
      </c>
      <c r="B458" s="30"/>
      <c r="C458" s="30"/>
      <c r="D458" s="29"/>
      <c r="E458" s="29"/>
      <c r="F458" s="29"/>
      <c r="G458" s="29"/>
      <c r="H458" s="29"/>
      <c r="I458" s="25" t="str">
        <f t="shared" si="70"/>
        <v/>
      </c>
      <c r="J458" s="29"/>
      <c r="K458" s="25" t="str">
        <f t="shared" si="71"/>
        <v/>
      </c>
      <c r="L458" s="26" t="str">
        <f t="shared" si="72"/>
        <v/>
      </c>
      <c r="M458" s="29"/>
      <c r="N458" s="29"/>
      <c r="O458" s="29"/>
      <c r="P458" s="29"/>
      <c r="Q458" s="29"/>
      <c r="R458" s="29"/>
      <c r="S458" s="29"/>
      <c r="T458" s="29"/>
      <c r="U458" s="26" t="str">
        <f t="shared" si="73"/>
        <v/>
      </c>
      <c r="V458" s="26"/>
      <c r="W458" s="26" t="str">
        <f t="shared" si="74"/>
        <v/>
      </c>
      <c r="X458" s="26" t="str">
        <f t="shared" si="75"/>
        <v/>
      </c>
      <c r="Y458" s="26" t="str">
        <f t="shared" si="76"/>
        <v/>
      </c>
      <c r="Z458" s="26" t="str">
        <f t="shared" si="77"/>
        <v/>
      </c>
      <c r="AA458" s="26" t="str">
        <f t="shared" si="78"/>
        <v/>
      </c>
      <c r="AB458" s="5" t="str">
        <f t="shared" si="79"/>
        <v/>
      </c>
    </row>
    <row r="459" spans="1:28" ht="12" customHeight="1">
      <c r="A459" s="22">
        <v>467</v>
      </c>
      <c r="B459" s="30"/>
      <c r="C459" s="30"/>
      <c r="D459" s="29"/>
      <c r="E459" s="29"/>
      <c r="F459" s="29"/>
      <c r="G459" s="29"/>
      <c r="H459" s="29"/>
      <c r="I459" s="25" t="str">
        <f t="shared" si="70"/>
        <v/>
      </c>
      <c r="J459" s="29"/>
      <c r="K459" s="25" t="str">
        <f t="shared" si="71"/>
        <v/>
      </c>
      <c r="L459" s="26" t="str">
        <f t="shared" si="72"/>
        <v/>
      </c>
      <c r="M459" s="29"/>
      <c r="N459" s="29"/>
      <c r="O459" s="29"/>
      <c r="P459" s="29"/>
      <c r="Q459" s="29"/>
      <c r="R459" s="29"/>
      <c r="S459" s="29"/>
      <c r="T459" s="29"/>
      <c r="U459" s="26" t="str">
        <f t="shared" si="73"/>
        <v/>
      </c>
      <c r="V459" s="26"/>
      <c r="W459" s="26" t="str">
        <f t="shared" si="74"/>
        <v/>
      </c>
      <c r="X459" s="26" t="str">
        <f t="shared" si="75"/>
        <v/>
      </c>
      <c r="Y459" s="26" t="str">
        <f t="shared" si="76"/>
        <v/>
      </c>
      <c r="Z459" s="26" t="str">
        <f t="shared" si="77"/>
        <v/>
      </c>
      <c r="AA459" s="26" t="str">
        <f t="shared" si="78"/>
        <v/>
      </c>
      <c r="AB459" s="5" t="str">
        <f t="shared" si="79"/>
        <v/>
      </c>
    </row>
    <row r="460" spans="1:28" ht="12" customHeight="1">
      <c r="A460" s="22">
        <v>468</v>
      </c>
      <c r="B460" s="30"/>
      <c r="C460" s="30"/>
      <c r="D460" s="29"/>
      <c r="E460" s="29"/>
      <c r="F460" s="29"/>
      <c r="G460" s="29"/>
      <c r="H460" s="29"/>
      <c r="I460" s="25" t="str">
        <f t="shared" si="70"/>
        <v/>
      </c>
      <c r="J460" s="29"/>
      <c r="K460" s="25" t="str">
        <f t="shared" si="71"/>
        <v/>
      </c>
      <c r="L460" s="26" t="str">
        <f t="shared" si="72"/>
        <v/>
      </c>
      <c r="M460" s="29"/>
      <c r="N460" s="29"/>
      <c r="O460" s="29"/>
      <c r="P460" s="29"/>
      <c r="Q460" s="29"/>
      <c r="R460" s="29"/>
      <c r="S460" s="29"/>
      <c r="T460" s="29"/>
      <c r="U460" s="26" t="str">
        <f t="shared" si="73"/>
        <v/>
      </c>
      <c r="V460" s="26"/>
      <c r="W460" s="26" t="str">
        <f t="shared" si="74"/>
        <v/>
      </c>
      <c r="X460" s="26" t="str">
        <f t="shared" si="75"/>
        <v/>
      </c>
      <c r="Y460" s="26" t="str">
        <f t="shared" si="76"/>
        <v/>
      </c>
      <c r="Z460" s="26" t="str">
        <f t="shared" si="77"/>
        <v/>
      </c>
      <c r="AA460" s="26" t="str">
        <f t="shared" si="78"/>
        <v/>
      </c>
      <c r="AB460" s="5" t="str">
        <f t="shared" si="79"/>
        <v/>
      </c>
    </row>
    <row r="461" spans="1:28" ht="12" customHeight="1">
      <c r="A461" s="22">
        <v>469</v>
      </c>
      <c r="B461" s="30"/>
      <c r="C461" s="30"/>
      <c r="D461" s="29"/>
      <c r="E461" s="29"/>
      <c r="F461" s="29"/>
      <c r="G461" s="29"/>
      <c r="H461" s="29"/>
      <c r="I461" s="25" t="str">
        <f t="shared" si="70"/>
        <v/>
      </c>
      <c r="J461" s="29"/>
      <c r="K461" s="25" t="str">
        <f t="shared" si="71"/>
        <v/>
      </c>
      <c r="L461" s="26" t="str">
        <f t="shared" si="72"/>
        <v/>
      </c>
      <c r="M461" s="29"/>
      <c r="N461" s="29"/>
      <c r="O461" s="29"/>
      <c r="P461" s="29"/>
      <c r="Q461" s="29"/>
      <c r="R461" s="29"/>
      <c r="S461" s="29"/>
      <c r="T461" s="29"/>
      <c r="U461" s="26" t="str">
        <f t="shared" si="73"/>
        <v/>
      </c>
      <c r="V461" s="26"/>
      <c r="W461" s="26" t="str">
        <f t="shared" si="74"/>
        <v/>
      </c>
      <c r="X461" s="26" t="str">
        <f t="shared" si="75"/>
        <v/>
      </c>
      <c r="Y461" s="26" t="str">
        <f t="shared" si="76"/>
        <v/>
      </c>
      <c r="Z461" s="26" t="str">
        <f t="shared" si="77"/>
        <v/>
      </c>
      <c r="AA461" s="26" t="str">
        <f t="shared" si="78"/>
        <v/>
      </c>
      <c r="AB461" s="5" t="str">
        <f t="shared" si="79"/>
        <v/>
      </c>
    </row>
    <row r="462" spans="1:28" ht="12" customHeight="1">
      <c r="A462" s="22">
        <v>470</v>
      </c>
      <c r="B462" s="30"/>
      <c r="C462" s="30"/>
      <c r="D462" s="29"/>
      <c r="E462" s="29"/>
      <c r="F462" s="29"/>
      <c r="G462" s="29"/>
      <c r="H462" s="29"/>
      <c r="I462" s="25" t="str">
        <f t="shared" si="70"/>
        <v/>
      </c>
      <c r="J462" s="29"/>
      <c r="K462" s="25" t="str">
        <f t="shared" si="71"/>
        <v/>
      </c>
      <c r="L462" s="26" t="str">
        <f t="shared" si="72"/>
        <v/>
      </c>
      <c r="M462" s="29"/>
      <c r="N462" s="29"/>
      <c r="O462" s="29"/>
      <c r="P462" s="29"/>
      <c r="Q462" s="29"/>
      <c r="R462" s="29"/>
      <c r="S462" s="29"/>
      <c r="T462" s="29"/>
      <c r="U462" s="26" t="str">
        <f t="shared" si="73"/>
        <v/>
      </c>
      <c r="V462" s="26"/>
      <c r="W462" s="26" t="str">
        <f t="shared" si="74"/>
        <v/>
      </c>
      <c r="X462" s="26" t="str">
        <f t="shared" si="75"/>
        <v/>
      </c>
      <c r="Y462" s="26" t="str">
        <f t="shared" si="76"/>
        <v/>
      </c>
      <c r="Z462" s="26" t="str">
        <f t="shared" si="77"/>
        <v/>
      </c>
      <c r="AA462" s="26" t="str">
        <f t="shared" si="78"/>
        <v/>
      </c>
      <c r="AB462" s="5" t="str">
        <f t="shared" si="79"/>
        <v/>
      </c>
    </row>
    <row r="463" spans="1:28" ht="12" customHeight="1">
      <c r="A463" s="22">
        <v>471</v>
      </c>
      <c r="B463" s="30"/>
      <c r="C463" s="30"/>
      <c r="D463" s="29"/>
      <c r="E463" s="29"/>
      <c r="F463" s="29"/>
      <c r="G463" s="29"/>
      <c r="H463" s="29"/>
      <c r="I463" s="25" t="str">
        <f t="shared" si="70"/>
        <v/>
      </c>
      <c r="J463" s="29"/>
      <c r="K463" s="25" t="str">
        <f t="shared" si="71"/>
        <v/>
      </c>
      <c r="L463" s="26" t="str">
        <f t="shared" si="72"/>
        <v/>
      </c>
      <c r="M463" s="29"/>
      <c r="N463" s="29"/>
      <c r="O463" s="29"/>
      <c r="P463" s="29"/>
      <c r="Q463" s="29"/>
      <c r="R463" s="29"/>
      <c r="S463" s="29"/>
      <c r="T463" s="29"/>
      <c r="U463" s="26" t="str">
        <f t="shared" si="73"/>
        <v/>
      </c>
      <c r="V463" s="26"/>
      <c r="W463" s="26" t="str">
        <f t="shared" si="74"/>
        <v/>
      </c>
      <c r="X463" s="26" t="str">
        <f t="shared" si="75"/>
        <v/>
      </c>
      <c r="Y463" s="26" t="str">
        <f t="shared" si="76"/>
        <v/>
      </c>
      <c r="Z463" s="26" t="str">
        <f t="shared" si="77"/>
        <v/>
      </c>
      <c r="AA463" s="26" t="str">
        <f t="shared" si="78"/>
        <v/>
      </c>
      <c r="AB463" s="5" t="str">
        <f t="shared" si="79"/>
        <v/>
      </c>
    </row>
    <row r="464" spans="1:28" ht="12" customHeight="1">
      <c r="A464" s="22">
        <v>472</v>
      </c>
      <c r="B464" s="30"/>
      <c r="C464" s="30"/>
      <c r="D464" s="29"/>
      <c r="E464" s="29"/>
      <c r="F464" s="29"/>
      <c r="G464" s="29"/>
      <c r="H464" s="29"/>
      <c r="I464" s="25" t="str">
        <f t="shared" si="70"/>
        <v/>
      </c>
      <c r="J464" s="29"/>
      <c r="K464" s="25" t="str">
        <f t="shared" si="71"/>
        <v/>
      </c>
      <c r="L464" s="26" t="str">
        <f t="shared" si="72"/>
        <v/>
      </c>
      <c r="M464" s="29"/>
      <c r="N464" s="29"/>
      <c r="O464" s="29"/>
      <c r="P464" s="29"/>
      <c r="Q464" s="29"/>
      <c r="R464" s="29"/>
      <c r="S464" s="29"/>
      <c r="T464" s="29"/>
      <c r="U464" s="26" t="str">
        <f t="shared" si="73"/>
        <v/>
      </c>
      <c r="V464" s="26"/>
      <c r="W464" s="26" t="str">
        <f t="shared" si="74"/>
        <v/>
      </c>
      <c r="X464" s="26" t="str">
        <f t="shared" si="75"/>
        <v/>
      </c>
      <c r="Y464" s="26" t="str">
        <f t="shared" si="76"/>
        <v/>
      </c>
      <c r="Z464" s="26" t="str">
        <f t="shared" si="77"/>
        <v/>
      </c>
      <c r="AA464" s="26" t="str">
        <f t="shared" si="78"/>
        <v/>
      </c>
      <c r="AB464" s="5" t="str">
        <f t="shared" si="79"/>
        <v/>
      </c>
    </row>
    <row r="465" spans="1:28" ht="12" customHeight="1">
      <c r="A465" s="22">
        <v>473</v>
      </c>
      <c r="B465" s="30"/>
      <c r="C465" s="30"/>
      <c r="D465" s="29"/>
      <c r="E465" s="29"/>
      <c r="F465" s="29"/>
      <c r="G465" s="29"/>
      <c r="H465" s="29"/>
      <c r="I465" s="25" t="str">
        <f t="shared" si="70"/>
        <v/>
      </c>
      <c r="J465" s="29"/>
      <c r="K465" s="25" t="str">
        <f t="shared" si="71"/>
        <v/>
      </c>
      <c r="L465" s="26" t="str">
        <f t="shared" si="72"/>
        <v/>
      </c>
      <c r="M465" s="29"/>
      <c r="N465" s="29"/>
      <c r="O465" s="29"/>
      <c r="P465" s="29"/>
      <c r="Q465" s="29"/>
      <c r="R465" s="29"/>
      <c r="S465" s="29"/>
      <c r="T465" s="29"/>
      <c r="U465" s="26" t="str">
        <f t="shared" si="73"/>
        <v/>
      </c>
      <c r="V465" s="26"/>
      <c r="W465" s="26" t="str">
        <f t="shared" si="74"/>
        <v/>
      </c>
      <c r="X465" s="26" t="str">
        <f t="shared" si="75"/>
        <v/>
      </c>
      <c r="Y465" s="26" t="str">
        <f t="shared" si="76"/>
        <v/>
      </c>
      <c r="Z465" s="26" t="str">
        <f t="shared" si="77"/>
        <v/>
      </c>
      <c r="AA465" s="26" t="str">
        <f t="shared" si="78"/>
        <v/>
      </c>
      <c r="AB465" s="5" t="str">
        <f t="shared" si="79"/>
        <v/>
      </c>
    </row>
    <row r="466" spans="1:28" ht="12" customHeight="1">
      <c r="A466" s="22">
        <v>474</v>
      </c>
      <c r="B466" s="30"/>
      <c r="C466" s="30"/>
      <c r="D466" s="29"/>
      <c r="E466" s="29"/>
      <c r="F466" s="29"/>
      <c r="G466" s="29"/>
      <c r="H466" s="29"/>
      <c r="I466" s="25" t="str">
        <f t="shared" si="70"/>
        <v/>
      </c>
      <c r="J466" s="29"/>
      <c r="K466" s="25" t="str">
        <f t="shared" si="71"/>
        <v/>
      </c>
      <c r="L466" s="26" t="str">
        <f t="shared" si="72"/>
        <v/>
      </c>
      <c r="M466" s="29"/>
      <c r="N466" s="29"/>
      <c r="O466" s="29"/>
      <c r="P466" s="29"/>
      <c r="Q466" s="29"/>
      <c r="R466" s="29"/>
      <c r="S466" s="29"/>
      <c r="T466" s="29"/>
      <c r="U466" s="26" t="str">
        <f t="shared" si="73"/>
        <v/>
      </c>
      <c r="V466" s="26"/>
      <c r="W466" s="26" t="str">
        <f t="shared" si="74"/>
        <v/>
      </c>
      <c r="X466" s="26" t="str">
        <f t="shared" si="75"/>
        <v/>
      </c>
      <c r="Y466" s="26" t="str">
        <f t="shared" si="76"/>
        <v/>
      </c>
      <c r="Z466" s="26" t="str">
        <f t="shared" si="77"/>
        <v/>
      </c>
      <c r="AA466" s="26" t="str">
        <f t="shared" si="78"/>
        <v/>
      </c>
      <c r="AB466" s="5" t="str">
        <f t="shared" si="79"/>
        <v/>
      </c>
    </row>
    <row r="467" spans="1:28" ht="12" customHeight="1">
      <c r="A467" s="22">
        <v>475</v>
      </c>
      <c r="B467" s="30"/>
      <c r="C467" s="30"/>
      <c r="D467" s="29"/>
      <c r="E467" s="29"/>
      <c r="F467" s="29"/>
      <c r="G467" s="29"/>
      <c r="H467" s="29"/>
      <c r="I467" s="25" t="str">
        <f t="shared" si="70"/>
        <v/>
      </c>
      <c r="J467" s="29"/>
      <c r="K467" s="25" t="str">
        <f t="shared" si="71"/>
        <v/>
      </c>
      <c r="L467" s="26" t="str">
        <f t="shared" si="72"/>
        <v/>
      </c>
      <c r="M467" s="29"/>
      <c r="N467" s="29"/>
      <c r="O467" s="29"/>
      <c r="P467" s="29"/>
      <c r="Q467" s="29"/>
      <c r="R467" s="29"/>
      <c r="S467" s="29"/>
      <c r="T467" s="29"/>
      <c r="U467" s="26" t="str">
        <f t="shared" si="73"/>
        <v/>
      </c>
      <c r="V467" s="26"/>
      <c r="W467" s="26" t="str">
        <f t="shared" si="74"/>
        <v/>
      </c>
      <c r="X467" s="26" t="str">
        <f t="shared" si="75"/>
        <v/>
      </c>
      <c r="Y467" s="26" t="str">
        <f t="shared" si="76"/>
        <v/>
      </c>
      <c r="Z467" s="26" t="str">
        <f t="shared" si="77"/>
        <v/>
      </c>
      <c r="AA467" s="26" t="str">
        <f t="shared" si="78"/>
        <v/>
      </c>
      <c r="AB467" s="5" t="str">
        <f t="shared" si="79"/>
        <v/>
      </c>
    </row>
    <row r="468" spans="1:28" ht="12" customHeight="1">
      <c r="A468" s="22">
        <v>476</v>
      </c>
      <c r="B468" s="30"/>
      <c r="C468" s="30"/>
      <c r="D468" s="29"/>
      <c r="E468" s="29"/>
      <c r="F468" s="29"/>
      <c r="G468" s="29"/>
      <c r="H468" s="29"/>
      <c r="I468" s="25" t="str">
        <f t="shared" si="70"/>
        <v/>
      </c>
      <c r="J468" s="29"/>
      <c r="K468" s="25" t="str">
        <f t="shared" si="71"/>
        <v/>
      </c>
      <c r="L468" s="26" t="str">
        <f t="shared" si="72"/>
        <v/>
      </c>
      <c r="M468" s="29"/>
      <c r="N468" s="29"/>
      <c r="O468" s="29"/>
      <c r="P468" s="29"/>
      <c r="Q468" s="29"/>
      <c r="R468" s="29"/>
      <c r="S468" s="29"/>
      <c r="T468" s="29"/>
      <c r="U468" s="26" t="str">
        <f t="shared" si="73"/>
        <v/>
      </c>
      <c r="V468" s="26"/>
      <c r="W468" s="26" t="str">
        <f t="shared" si="74"/>
        <v/>
      </c>
      <c r="X468" s="26" t="str">
        <f t="shared" si="75"/>
        <v/>
      </c>
      <c r="Y468" s="26" t="str">
        <f t="shared" si="76"/>
        <v/>
      </c>
      <c r="Z468" s="26" t="str">
        <f t="shared" si="77"/>
        <v/>
      </c>
      <c r="AA468" s="26" t="str">
        <f t="shared" si="78"/>
        <v/>
      </c>
      <c r="AB468" s="5" t="str">
        <f t="shared" si="79"/>
        <v/>
      </c>
    </row>
    <row r="469" spans="1:28" ht="12" customHeight="1">
      <c r="A469" s="22">
        <v>477</v>
      </c>
      <c r="B469" s="30"/>
      <c r="C469" s="30"/>
      <c r="D469" s="29"/>
      <c r="E469" s="29"/>
      <c r="F469" s="29"/>
      <c r="G469" s="29"/>
      <c r="H469" s="29"/>
      <c r="I469" s="25" t="str">
        <f t="shared" si="70"/>
        <v/>
      </c>
      <c r="J469" s="29"/>
      <c r="K469" s="25" t="str">
        <f t="shared" si="71"/>
        <v/>
      </c>
      <c r="L469" s="26" t="str">
        <f t="shared" si="72"/>
        <v/>
      </c>
      <c r="M469" s="29"/>
      <c r="N469" s="29"/>
      <c r="O469" s="29"/>
      <c r="P469" s="29"/>
      <c r="Q469" s="29"/>
      <c r="R469" s="29"/>
      <c r="S469" s="29"/>
      <c r="T469" s="29"/>
      <c r="U469" s="26" t="str">
        <f t="shared" si="73"/>
        <v/>
      </c>
      <c r="V469" s="26"/>
      <c r="W469" s="26" t="str">
        <f t="shared" si="74"/>
        <v/>
      </c>
      <c r="X469" s="26" t="str">
        <f t="shared" si="75"/>
        <v/>
      </c>
      <c r="Y469" s="26" t="str">
        <f t="shared" si="76"/>
        <v/>
      </c>
      <c r="Z469" s="26" t="str">
        <f t="shared" si="77"/>
        <v/>
      </c>
      <c r="AA469" s="26" t="str">
        <f t="shared" si="78"/>
        <v/>
      </c>
      <c r="AB469" s="5" t="str">
        <f t="shared" si="79"/>
        <v/>
      </c>
    </row>
    <row r="470" spans="1:28" ht="12" customHeight="1">
      <c r="A470" s="22">
        <v>478</v>
      </c>
      <c r="B470" s="30"/>
      <c r="C470" s="30"/>
      <c r="D470" s="29"/>
      <c r="E470" s="29"/>
      <c r="F470" s="29"/>
      <c r="G470" s="29"/>
      <c r="H470" s="29"/>
      <c r="I470" s="25" t="str">
        <f t="shared" si="70"/>
        <v/>
      </c>
      <c r="J470" s="29"/>
      <c r="K470" s="25" t="str">
        <f t="shared" si="71"/>
        <v/>
      </c>
      <c r="L470" s="26" t="str">
        <f t="shared" si="72"/>
        <v/>
      </c>
      <c r="M470" s="29"/>
      <c r="N470" s="29"/>
      <c r="O470" s="29"/>
      <c r="P470" s="29"/>
      <c r="Q470" s="29"/>
      <c r="R470" s="29"/>
      <c r="S470" s="29"/>
      <c r="T470" s="29"/>
      <c r="U470" s="26" t="str">
        <f t="shared" si="73"/>
        <v/>
      </c>
      <c r="V470" s="26"/>
      <c r="W470" s="26" t="str">
        <f t="shared" si="74"/>
        <v/>
      </c>
      <c r="X470" s="26" t="str">
        <f t="shared" si="75"/>
        <v/>
      </c>
      <c r="Y470" s="26" t="str">
        <f t="shared" si="76"/>
        <v/>
      </c>
      <c r="Z470" s="26" t="str">
        <f t="shared" si="77"/>
        <v/>
      </c>
      <c r="AA470" s="26" t="str">
        <f t="shared" si="78"/>
        <v/>
      </c>
      <c r="AB470" s="5" t="str">
        <f t="shared" si="79"/>
        <v/>
      </c>
    </row>
    <row r="471" spans="1:28" ht="12" customHeight="1">
      <c r="A471" s="22">
        <v>479</v>
      </c>
      <c r="B471" s="30"/>
      <c r="C471" s="30"/>
      <c r="D471" s="29"/>
      <c r="E471" s="29"/>
      <c r="F471" s="29"/>
      <c r="G471" s="29"/>
      <c r="H471" s="29"/>
      <c r="I471" s="25" t="str">
        <f t="shared" si="70"/>
        <v/>
      </c>
      <c r="J471" s="29"/>
      <c r="K471" s="25" t="str">
        <f t="shared" si="71"/>
        <v/>
      </c>
      <c r="L471" s="26" t="str">
        <f t="shared" si="72"/>
        <v/>
      </c>
      <c r="M471" s="29"/>
      <c r="N471" s="29"/>
      <c r="O471" s="29"/>
      <c r="P471" s="29"/>
      <c r="Q471" s="29"/>
      <c r="R471" s="29"/>
      <c r="S471" s="29"/>
      <c r="T471" s="29"/>
      <c r="U471" s="26" t="str">
        <f t="shared" si="73"/>
        <v/>
      </c>
      <c r="V471" s="26"/>
      <c r="W471" s="26" t="str">
        <f t="shared" si="74"/>
        <v/>
      </c>
      <c r="X471" s="26" t="str">
        <f t="shared" si="75"/>
        <v/>
      </c>
      <c r="Y471" s="26" t="str">
        <f t="shared" si="76"/>
        <v/>
      </c>
      <c r="Z471" s="26" t="str">
        <f t="shared" si="77"/>
        <v/>
      </c>
      <c r="AA471" s="26" t="str">
        <f t="shared" si="78"/>
        <v/>
      </c>
      <c r="AB471" s="5" t="str">
        <f t="shared" si="79"/>
        <v/>
      </c>
    </row>
    <row r="472" spans="1:28" ht="12" customHeight="1">
      <c r="A472" s="22">
        <v>480</v>
      </c>
      <c r="B472" s="30"/>
      <c r="C472" s="30"/>
      <c r="D472" s="29"/>
      <c r="E472" s="29"/>
      <c r="F472" s="29"/>
      <c r="G472" s="29"/>
      <c r="H472" s="29"/>
      <c r="I472" s="25" t="str">
        <f t="shared" si="70"/>
        <v/>
      </c>
      <c r="J472" s="29"/>
      <c r="K472" s="25" t="str">
        <f t="shared" si="71"/>
        <v/>
      </c>
      <c r="L472" s="26" t="str">
        <f t="shared" si="72"/>
        <v/>
      </c>
      <c r="M472" s="29"/>
      <c r="N472" s="29"/>
      <c r="O472" s="29"/>
      <c r="P472" s="29"/>
      <c r="Q472" s="29"/>
      <c r="R472" s="29"/>
      <c r="S472" s="29"/>
      <c r="T472" s="29"/>
      <c r="U472" s="26" t="str">
        <f t="shared" si="73"/>
        <v/>
      </c>
      <c r="V472" s="26"/>
      <c r="W472" s="26" t="str">
        <f t="shared" si="74"/>
        <v/>
      </c>
      <c r="X472" s="26" t="str">
        <f t="shared" si="75"/>
        <v/>
      </c>
      <c r="Y472" s="26" t="str">
        <f t="shared" si="76"/>
        <v/>
      </c>
      <c r="Z472" s="26" t="str">
        <f t="shared" si="77"/>
        <v/>
      </c>
      <c r="AA472" s="26" t="str">
        <f t="shared" si="78"/>
        <v/>
      </c>
      <c r="AB472" s="5" t="str">
        <f t="shared" si="79"/>
        <v/>
      </c>
    </row>
    <row r="473" spans="1:28" ht="12" customHeight="1">
      <c r="A473" s="22">
        <v>481</v>
      </c>
      <c r="B473" s="30"/>
      <c r="C473" s="30"/>
      <c r="D473" s="29"/>
      <c r="E473" s="29"/>
      <c r="F473" s="29"/>
      <c r="G473" s="29"/>
      <c r="H473" s="29"/>
      <c r="I473" s="25" t="str">
        <f t="shared" si="70"/>
        <v/>
      </c>
      <c r="J473" s="29"/>
      <c r="K473" s="25" t="str">
        <f t="shared" si="71"/>
        <v/>
      </c>
      <c r="L473" s="26" t="str">
        <f t="shared" si="72"/>
        <v/>
      </c>
      <c r="M473" s="29"/>
      <c r="N473" s="29"/>
      <c r="O473" s="29"/>
      <c r="P473" s="29"/>
      <c r="Q473" s="29"/>
      <c r="R473" s="29"/>
      <c r="S473" s="29"/>
      <c r="T473" s="29"/>
      <c r="U473" s="26" t="str">
        <f t="shared" si="73"/>
        <v/>
      </c>
      <c r="V473" s="26"/>
      <c r="W473" s="26" t="str">
        <f t="shared" si="74"/>
        <v/>
      </c>
      <c r="X473" s="26" t="str">
        <f t="shared" si="75"/>
        <v/>
      </c>
      <c r="Y473" s="26" t="str">
        <f t="shared" si="76"/>
        <v/>
      </c>
      <c r="Z473" s="26" t="str">
        <f t="shared" si="77"/>
        <v/>
      </c>
      <c r="AA473" s="26" t="str">
        <f t="shared" si="78"/>
        <v/>
      </c>
      <c r="AB473" s="5" t="str">
        <f t="shared" si="79"/>
        <v/>
      </c>
    </row>
    <row r="474" spans="1:28" ht="12" customHeight="1">
      <c r="A474" s="22">
        <v>482</v>
      </c>
      <c r="B474" s="30"/>
      <c r="C474" s="30"/>
      <c r="D474" s="29"/>
      <c r="E474" s="29"/>
      <c r="F474" s="29"/>
      <c r="G474" s="29"/>
      <c r="H474" s="29"/>
      <c r="I474" s="25" t="str">
        <f t="shared" si="70"/>
        <v/>
      </c>
      <c r="J474" s="29"/>
      <c r="K474" s="25" t="str">
        <f t="shared" si="71"/>
        <v/>
      </c>
      <c r="L474" s="26" t="str">
        <f t="shared" si="72"/>
        <v/>
      </c>
      <c r="M474" s="29"/>
      <c r="N474" s="29"/>
      <c r="O474" s="29"/>
      <c r="P474" s="29"/>
      <c r="Q474" s="29"/>
      <c r="R474" s="29"/>
      <c r="S474" s="29"/>
      <c r="T474" s="29"/>
      <c r="U474" s="26" t="str">
        <f t="shared" si="73"/>
        <v/>
      </c>
      <c r="V474" s="26"/>
      <c r="W474" s="26" t="str">
        <f t="shared" si="74"/>
        <v/>
      </c>
      <c r="X474" s="26" t="str">
        <f t="shared" si="75"/>
        <v/>
      </c>
      <c r="Y474" s="26" t="str">
        <f t="shared" si="76"/>
        <v/>
      </c>
      <c r="Z474" s="26" t="str">
        <f t="shared" si="77"/>
        <v/>
      </c>
      <c r="AA474" s="26" t="str">
        <f t="shared" si="78"/>
        <v/>
      </c>
      <c r="AB474" s="5" t="str">
        <f t="shared" si="79"/>
        <v/>
      </c>
    </row>
    <row r="475" spans="1:28" ht="12" customHeight="1">
      <c r="A475" s="22">
        <v>483</v>
      </c>
      <c r="B475" s="30"/>
      <c r="C475" s="30"/>
      <c r="D475" s="29"/>
      <c r="E475" s="29"/>
      <c r="F475" s="29"/>
      <c r="G475" s="29"/>
      <c r="H475" s="29"/>
      <c r="I475" s="25" t="str">
        <f t="shared" si="70"/>
        <v/>
      </c>
      <c r="J475" s="29"/>
      <c r="K475" s="25" t="str">
        <f t="shared" si="71"/>
        <v/>
      </c>
      <c r="L475" s="26" t="str">
        <f t="shared" si="72"/>
        <v/>
      </c>
      <c r="M475" s="29"/>
      <c r="N475" s="29"/>
      <c r="O475" s="29"/>
      <c r="P475" s="29"/>
      <c r="Q475" s="29"/>
      <c r="R475" s="29"/>
      <c r="S475" s="29"/>
      <c r="T475" s="29"/>
      <c r="U475" s="26" t="str">
        <f t="shared" si="73"/>
        <v/>
      </c>
      <c r="V475" s="26"/>
      <c r="W475" s="26" t="str">
        <f t="shared" si="74"/>
        <v/>
      </c>
      <c r="X475" s="26" t="str">
        <f t="shared" si="75"/>
        <v/>
      </c>
      <c r="Y475" s="26" t="str">
        <f t="shared" si="76"/>
        <v/>
      </c>
      <c r="Z475" s="26" t="str">
        <f t="shared" si="77"/>
        <v/>
      </c>
      <c r="AA475" s="26" t="str">
        <f t="shared" si="78"/>
        <v/>
      </c>
      <c r="AB475" s="5" t="str">
        <f t="shared" si="79"/>
        <v/>
      </c>
    </row>
    <row r="476" spans="1:28" ht="12" customHeight="1">
      <c r="A476" s="22">
        <v>484</v>
      </c>
      <c r="B476" s="30"/>
      <c r="C476" s="30"/>
      <c r="D476" s="29"/>
      <c r="E476" s="29"/>
      <c r="F476" s="29"/>
      <c r="G476" s="29"/>
      <c r="H476" s="29"/>
      <c r="I476" s="25" t="str">
        <f t="shared" si="70"/>
        <v/>
      </c>
      <c r="J476" s="29"/>
      <c r="K476" s="25" t="str">
        <f t="shared" si="71"/>
        <v/>
      </c>
      <c r="L476" s="26" t="str">
        <f t="shared" si="72"/>
        <v/>
      </c>
      <c r="M476" s="29"/>
      <c r="N476" s="29"/>
      <c r="O476" s="29"/>
      <c r="P476" s="29"/>
      <c r="Q476" s="29"/>
      <c r="R476" s="29"/>
      <c r="S476" s="29"/>
      <c r="T476" s="29"/>
      <c r="U476" s="26" t="str">
        <f t="shared" si="73"/>
        <v/>
      </c>
      <c r="V476" s="26"/>
      <c r="W476" s="26" t="str">
        <f t="shared" si="74"/>
        <v/>
      </c>
      <c r="X476" s="26" t="str">
        <f t="shared" si="75"/>
        <v/>
      </c>
      <c r="Y476" s="26" t="str">
        <f t="shared" si="76"/>
        <v/>
      </c>
      <c r="Z476" s="26" t="str">
        <f t="shared" si="77"/>
        <v/>
      </c>
      <c r="AA476" s="26" t="str">
        <f t="shared" si="78"/>
        <v/>
      </c>
      <c r="AB476" s="5" t="str">
        <f t="shared" si="79"/>
        <v/>
      </c>
    </row>
    <row r="477" spans="1:28" ht="12" customHeight="1">
      <c r="A477" s="22">
        <v>485</v>
      </c>
      <c r="B477" s="30"/>
      <c r="C477" s="30"/>
      <c r="D477" s="29"/>
      <c r="E477" s="29"/>
      <c r="F477" s="29"/>
      <c r="G477" s="29"/>
      <c r="H477" s="29"/>
      <c r="I477" s="25" t="str">
        <f t="shared" si="70"/>
        <v/>
      </c>
      <c r="J477" s="29"/>
      <c r="K477" s="25" t="str">
        <f t="shared" si="71"/>
        <v/>
      </c>
      <c r="L477" s="26" t="str">
        <f t="shared" si="72"/>
        <v/>
      </c>
      <c r="M477" s="29"/>
      <c r="N477" s="29"/>
      <c r="O477" s="29"/>
      <c r="P477" s="29"/>
      <c r="Q477" s="29"/>
      <c r="R477" s="29"/>
      <c r="S477" s="29"/>
      <c r="T477" s="29"/>
      <c r="U477" s="26" t="str">
        <f t="shared" si="73"/>
        <v/>
      </c>
      <c r="V477" s="26"/>
      <c r="W477" s="26" t="str">
        <f t="shared" si="74"/>
        <v/>
      </c>
      <c r="X477" s="26" t="str">
        <f t="shared" si="75"/>
        <v/>
      </c>
      <c r="Y477" s="26" t="str">
        <f t="shared" si="76"/>
        <v/>
      </c>
      <c r="Z477" s="26" t="str">
        <f t="shared" si="77"/>
        <v/>
      </c>
      <c r="AA477" s="26" t="str">
        <f t="shared" si="78"/>
        <v/>
      </c>
      <c r="AB477" s="5" t="str">
        <f t="shared" si="79"/>
        <v/>
      </c>
    </row>
    <row r="478" spans="1:28" ht="12" customHeight="1">
      <c r="A478" s="22">
        <v>486</v>
      </c>
      <c r="B478" s="30"/>
      <c r="C478" s="30"/>
      <c r="D478" s="29"/>
      <c r="E478" s="29"/>
      <c r="F478" s="29"/>
      <c r="G478" s="29"/>
      <c r="H478" s="29"/>
      <c r="I478" s="25" t="str">
        <f t="shared" si="70"/>
        <v/>
      </c>
      <c r="J478" s="29"/>
      <c r="K478" s="25" t="str">
        <f t="shared" si="71"/>
        <v/>
      </c>
      <c r="L478" s="26" t="str">
        <f t="shared" si="72"/>
        <v/>
      </c>
      <c r="M478" s="29"/>
      <c r="N478" s="29"/>
      <c r="O478" s="29"/>
      <c r="P478" s="29"/>
      <c r="Q478" s="29"/>
      <c r="R478" s="29"/>
      <c r="S478" s="29"/>
      <c r="T478" s="29"/>
      <c r="U478" s="26" t="str">
        <f t="shared" si="73"/>
        <v/>
      </c>
      <c r="V478" s="26"/>
      <c r="W478" s="26" t="str">
        <f t="shared" si="74"/>
        <v/>
      </c>
      <c r="X478" s="26" t="str">
        <f t="shared" si="75"/>
        <v/>
      </c>
      <c r="Y478" s="26" t="str">
        <f t="shared" si="76"/>
        <v/>
      </c>
      <c r="Z478" s="26" t="str">
        <f t="shared" si="77"/>
        <v/>
      </c>
      <c r="AA478" s="26" t="str">
        <f t="shared" si="78"/>
        <v/>
      </c>
      <c r="AB478" s="5" t="str">
        <f t="shared" si="79"/>
        <v/>
      </c>
    </row>
    <row r="479" spans="1:28" ht="12" customHeight="1">
      <c r="A479" s="22">
        <v>487</v>
      </c>
      <c r="B479" s="30"/>
      <c r="C479" s="30"/>
      <c r="D479" s="29"/>
      <c r="E479" s="29"/>
      <c r="F479" s="29"/>
      <c r="G479" s="29"/>
      <c r="H479" s="29"/>
      <c r="I479" s="25" t="str">
        <f t="shared" si="70"/>
        <v/>
      </c>
      <c r="J479" s="29"/>
      <c r="K479" s="25" t="str">
        <f t="shared" si="71"/>
        <v/>
      </c>
      <c r="L479" s="26" t="str">
        <f t="shared" si="72"/>
        <v/>
      </c>
      <c r="M479" s="29"/>
      <c r="N479" s="29"/>
      <c r="O479" s="29"/>
      <c r="P479" s="29"/>
      <c r="Q479" s="29"/>
      <c r="R479" s="29"/>
      <c r="S479" s="29"/>
      <c r="T479" s="29"/>
      <c r="U479" s="26" t="str">
        <f t="shared" si="73"/>
        <v/>
      </c>
      <c r="V479" s="26"/>
      <c r="W479" s="26" t="str">
        <f t="shared" si="74"/>
        <v/>
      </c>
      <c r="X479" s="26" t="str">
        <f t="shared" si="75"/>
        <v/>
      </c>
      <c r="Y479" s="26" t="str">
        <f t="shared" si="76"/>
        <v/>
      </c>
      <c r="Z479" s="26" t="str">
        <f t="shared" si="77"/>
        <v/>
      </c>
      <c r="AA479" s="26" t="str">
        <f t="shared" si="78"/>
        <v/>
      </c>
      <c r="AB479" s="5" t="str">
        <f t="shared" si="79"/>
        <v/>
      </c>
    </row>
    <row r="480" spans="1:28" ht="12" customHeight="1">
      <c r="A480" s="22">
        <v>488</v>
      </c>
      <c r="B480" s="30"/>
      <c r="C480" s="30"/>
      <c r="D480" s="29"/>
      <c r="E480" s="29"/>
      <c r="F480" s="29"/>
      <c r="G480" s="29"/>
      <c r="H480" s="29"/>
      <c r="I480" s="25" t="str">
        <f t="shared" si="70"/>
        <v/>
      </c>
      <c r="J480" s="29"/>
      <c r="K480" s="25" t="str">
        <f t="shared" si="71"/>
        <v/>
      </c>
      <c r="L480" s="26" t="str">
        <f t="shared" si="72"/>
        <v/>
      </c>
      <c r="M480" s="29"/>
      <c r="N480" s="29"/>
      <c r="O480" s="29"/>
      <c r="P480" s="29"/>
      <c r="Q480" s="29"/>
      <c r="R480" s="29"/>
      <c r="S480" s="29"/>
      <c r="T480" s="29"/>
      <c r="U480" s="26" t="str">
        <f t="shared" si="73"/>
        <v/>
      </c>
      <c r="V480" s="26"/>
      <c r="W480" s="26" t="str">
        <f t="shared" si="74"/>
        <v/>
      </c>
      <c r="X480" s="26" t="str">
        <f t="shared" si="75"/>
        <v/>
      </c>
      <c r="Y480" s="26" t="str">
        <f t="shared" si="76"/>
        <v/>
      </c>
      <c r="Z480" s="26" t="str">
        <f t="shared" si="77"/>
        <v/>
      </c>
      <c r="AA480" s="26" t="str">
        <f t="shared" si="78"/>
        <v/>
      </c>
      <c r="AB480" s="5" t="str">
        <f t="shared" si="79"/>
        <v/>
      </c>
    </row>
    <row r="481" spans="1:28" ht="12" customHeight="1">
      <c r="A481" s="22">
        <v>489</v>
      </c>
      <c r="B481" s="30"/>
      <c r="C481" s="30"/>
      <c r="D481" s="29"/>
      <c r="E481" s="29"/>
      <c r="F481" s="29"/>
      <c r="G481" s="29"/>
      <c r="H481" s="29"/>
      <c r="I481" s="25" t="str">
        <f t="shared" si="70"/>
        <v/>
      </c>
      <c r="J481" s="29"/>
      <c r="K481" s="25" t="str">
        <f t="shared" si="71"/>
        <v/>
      </c>
      <c r="L481" s="26" t="str">
        <f t="shared" si="72"/>
        <v/>
      </c>
      <c r="M481" s="29"/>
      <c r="N481" s="29"/>
      <c r="O481" s="29"/>
      <c r="P481" s="29"/>
      <c r="Q481" s="29"/>
      <c r="R481" s="29"/>
      <c r="S481" s="29"/>
      <c r="T481" s="29"/>
      <c r="U481" s="26" t="str">
        <f t="shared" si="73"/>
        <v/>
      </c>
      <c r="V481" s="26"/>
      <c r="W481" s="26" t="str">
        <f t="shared" si="74"/>
        <v/>
      </c>
      <c r="X481" s="26" t="str">
        <f t="shared" si="75"/>
        <v/>
      </c>
      <c r="Y481" s="26" t="str">
        <f t="shared" si="76"/>
        <v/>
      </c>
      <c r="Z481" s="26" t="str">
        <f t="shared" si="77"/>
        <v/>
      </c>
      <c r="AA481" s="26" t="str">
        <f t="shared" si="78"/>
        <v/>
      </c>
      <c r="AB481" s="5" t="str">
        <f t="shared" si="79"/>
        <v/>
      </c>
    </row>
    <row r="482" spans="1:28" ht="12" customHeight="1">
      <c r="A482" s="22">
        <v>490</v>
      </c>
      <c r="B482" s="30"/>
      <c r="C482" s="30"/>
      <c r="D482" s="29"/>
      <c r="E482" s="29"/>
      <c r="F482" s="29"/>
      <c r="G482" s="29"/>
      <c r="H482" s="29"/>
      <c r="I482" s="25" t="str">
        <f t="shared" si="70"/>
        <v/>
      </c>
      <c r="J482" s="29"/>
      <c r="K482" s="25" t="str">
        <f t="shared" si="71"/>
        <v/>
      </c>
      <c r="L482" s="26" t="str">
        <f t="shared" si="72"/>
        <v/>
      </c>
      <c r="M482" s="29"/>
      <c r="N482" s="29"/>
      <c r="O482" s="29"/>
      <c r="P482" s="29"/>
      <c r="Q482" s="29"/>
      <c r="R482" s="29"/>
      <c r="S482" s="29"/>
      <c r="T482" s="29"/>
      <c r="U482" s="26" t="str">
        <f t="shared" si="73"/>
        <v/>
      </c>
      <c r="V482" s="26"/>
      <c r="W482" s="26" t="str">
        <f t="shared" si="74"/>
        <v/>
      </c>
      <c r="X482" s="26" t="str">
        <f t="shared" si="75"/>
        <v/>
      </c>
      <c r="Y482" s="26" t="str">
        <f t="shared" si="76"/>
        <v/>
      </c>
      <c r="Z482" s="26" t="str">
        <f t="shared" si="77"/>
        <v/>
      </c>
      <c r="AA482" s="26" t="str">
        <f t="shared" si="78"/>
        <v/>
      </c>
      <c r="AB482" s="5" t="str">
        <f t="shared" si="79"/>
        <v/>
      </c>
    </row>
    <row r="483" spans="1:28" ht="12" customHeight="1">
      <c r="A483" s="22">
        <v>491</v>
      </c>
      <c r="B483" s="30"/>
      <c r="C483" s="30"/>
      <c r="D483" s="29"/>
      <c r="E483" s="29"/>
      <c r="F483" s="29"/>
      <c r="G483" s="29"/>
      <c r="H483" s="29"/>
      <c r="I483" s="25" t="str">
        <f t="shared" si="70"/>
        <v/>
      </c>
      <c r="J483" s="29"/>
      <c r="K483" s="25" t="str">
        <f t="shared" si="71"/>
        <v/>
      </c>
      <c r="L483" s="26" t="str">
        <f t="shared" si="72"/>
        <v/>
      </c>
      <c r="M483" s="29"/>
      <c r="N483" s="29"/>
      <c r="O483" s="29"/>
      <c r="P483" s="29"/>
      <c r="Q483" s="29"/>
      <c r="R483" s="29"/>
      <c r="S483" s="29"/>
      <c r="T483" s="29"/>
      <c r="U483" s="26" t="str">
        <f t="shared" si="73"/>
        <v/>
      </c>
      <c r="V483" s="26"/>
      <c r="W483" s="26" t="str">
        <f t="shared" si="74"/>
        <v/>
      </c>
      <c r="X483" s="26" t="str">
        <f t="shared" si="75"/>
        <v/>
      </c>
      <c r="Y483" s="26" t="str">
        <f t="shared" si="76"/>
        <v/>
      </c>
      <c r="Z483" s="26" t="str">
        <f t="shared" si="77"/>
        <v/>
      </c>
      <c r="AA483" s="26" t="str">
        <f t="shared" si="78"/>
        <v/>
      </c>
      <c r="AB483" s="5" t="str">
        <f t="shared" si="79"/>
        <v/>
      </c>
    </row>
    <row r="484" spans="1:28" ht="12" customHeight="1">
      <c r="A484" s="22">
        <v>492</v>
      </c>
      <c r="B484" s="30"/>
      <c r="C484" s="30"/>
      <c r="D484" s="29"/>
      <c r="E484" s="29"/>
      <c r="F484" s="29"/>
      <c r="G484" s="29"/>
      <c r="H484" s="29"/>
      <c r="I484" s="25" t="str">
        <f t="shared" si="70"/>
        <v/>
      </c>
      <c r="J484" s="29"/>
      <c r="K484" s="25" t="str">
        <f t="shared" si="71"/>
        <v/>
      </c>
      <c r="L484" s="26" t="str">
        <f t="shared" si="72"/>
        <v/>
      </c>
      <c r="M484" s="29"/>
      <c r="N484" s="29"/>
      <c r="O484" s="29"/>
      <c r="P484" s="29"/>
      <c r="Q484" s="29"/>
      <c r="R484" s="29"/>
      <c r="S484" s="29"/>
      <c r="T484" s="29"/>
      <c r="U484" s="26" t="str">
        <f t="shared" si="73"/>
        <v/>
      </c>
      <c r="V484" s="26"/>
      <c r="W484" s="26" t="str">
        <f t="shared" si="74"/>
        <v/>
      </c>
      <c r="X484" s="26" t="str">
        <f t="shared" si="75"/>
        <v/>
      </c>
      <c r="Y484" s="26" t="str">
        <f t="shared" si="76"/>
        <v/>
      </c>
      <c r="Z484" s="26" t="str">
        <f t="shared" si="77"/>
        <v/>
      </c>
      <c r="AA484" s="26" t="str">
        <f t="shared" si="78"/>
        <v/>
      </c>
      <c r="AB484" s="5" t="str">
        <f t="shared" si="79"/>
        <v/>
      </c>
    </row>
    <row r="485" spans="1:28" ht="12" customHeight="1">
      <c r="A485" s="22">
        <v>493</v>
      </c>
      <c r="B485" s="30"/>
      <c r="C485" s="30"/>
      <c r="D485" s="29"/>
      <c r="E485" s="29"/>
      <c r="F485" s="29"/>
      <c r="G485" s="29"/>
      <c r="H485" s="29"/>
      <c r="I485" s="25" t="str">
        <f t="shared" si="70"/>
        <v/>
      </c>
      <c r="J485" s="29"/>
      <c r="K485" s="25" t="str">
        <f t="shared" si="71"/>
        <v/>
      </c>
      <c r="L485" s="26" t="str">
        <f t="shared" si="72"/>
        <v/>
      </c>
      <c r="M485" s="29"/>
      <c r="N485" s="29"/>
      <c r="O485" s="29"/>
      <c r="P485" s="29"/>
      <c r="Q485" s="29"/>
      <c r="R485" s="29"/>
      <c r="S485" s="29"/>
      <c r="T485" s="29"/>
      <c r="U485" s="26" t="str">
        <f t="shared" si="73"/>
        <v/>
      </c>
      <c r="V485" s="26"/>
      <c r="W485" s="26" t="str">
        <f t="shared" si="74"/>
        <v/>
      </c>
      <c r="X485" s="26" t="str">
        <f t="shared" si="75"/>
        <v/>
      </c>
      <c r="Y485" s="26" t="str">
        <f t="shared" si="76"/>
        <v/>
      </c>
      <c r="Z485" s="26" t="str">
        <f t="shared" si="77"/>
        <v/>
      </c>
      <c r="AA485" s="26" t="str">
        <f t="shared" si="78"/>
        <v/>
      </c>
      <c r="AB485" s="5" t="str">
        <f t="shared" si="79"/>
        <v/>
      </c>
    </row>
    <row r="486" spans="1:28" ht="12" customHeight="1">
      <c r="A486" s="22">
        <v>494</v>
      </c>
      <c r="B486" s="30"/>
      <c r="C486" s="30"/>
      <c r="D486" s="29"/>
      <c r="E486" s="29"/>
      <c r="F486" s="29"/>
      <c r="G486" s="29"/>
      <c r="H486" s="29"/>
      <c r="I486" s="25" t="str">
        <f t="shared" si="70"/>
        <v/>
      </c>
      <c r="J486" s="29"/>
      <c r="K486" s="25" t="str">
        <f t="shared" si="71"/>
        <v/>
      </c>
      <c r="L486" s="26" t="str">
        <f t="shared" si="72"/>
        <v/>
      </c>
      <c r="M486" s="29"/>
      <c r="N486" s="29"/>
      <c r="O486" s="29"/>
      <c r="P486" s="29"/>
      <c r="Q486" s="29"/>
      <c r="R486" s="29"/>
      <c r="S486" s="29"/>
      <c r="T486" s="29"/>
      <c r="U486" s="26" t="str">
        <f t="shared" si="73"/>
        <v/>
      </c>
      <c r="V486" s="26"/>
      <c r="W486" s="26" t="str">
        <f t="shared" si="74"/>
        <v/>
      </c>
      <c r="X486" s="26" t="str">
        <f t="shared" si="75"/>
        <v/>
      </c>
      <c r="Y486" s="26" t="str">
        <f t="shared" si="76"/>
        <v/>
      </c>
      <c r="Z486" s="26" t="str">
        <f t="shared" si="77"/>
        <v/>
      </c>
      <c r="AA486" s="26" t="str">
        <f t="shared" si="78"/>
        <v/>
      </c>
      <c r="AB486" s="5" t="str">
        <f t="shared" si="79"/>
        <v/>
      </c>
    </row>
    <row r="487" spans="1:28" ht="12" customHeight="1">
      <c r="A487" s="22">
        <v>495</v>
      </c>
      <c r="B487" s="30"/>
      <c r="C487" s="30"/>
      <c r="D487" s="29"/>
      <c r="E487" s="29"/>
      <c r="F487" s="29"/>
      <c r="G487" s="29"/>
      <c r="H487" s="29"/>
      <c r="I487" s="25" t="str">
        <f t="shared" si="70"/>
        <v/>
      </c>
      <c r="J487" s="29"/>
      <c r="K487" s="25" t="str">
        <f t="shared" si="71"/>
        <v/>
      </c>
      <c r="L487" s="26" t="str">
        <f t="shared" si="72"/>
        <v/>
      </c>
      <c r="M487" s="29"/>
      <c r="N487" s="29"/>
      <c r="O487" s="29"/>
      <c r="P487" s="29"/>
      <c r="Q487" s="29"/>
      <c r="R487" s="29"/>
      <c r="S487" s="29"/>
      <c r="T487" s="29"/>
      <c r="U487" s="26" t="str">
        <f t="shared" si="73"/>
        <v/>
      </c>
      <c r="V487" s="26"/>
      <c r="W487" s="26" t="str">
        <f t="shared" si="74"/>
        <v/>
      </c>
      <c r="X487" s="26" t="str">
        <f t="shared" si="75"/>
        <v/>
      </c>
      <c r="Y487" s="26" t="str">
        <f t="shared" si="76"/>
        <v/>
      </c>
      <c r="Z487" s="26" t="str">
        <f t="shared" si="77"/>
        <v/>
      </c>
      <c r="AA487" s="26" t="str">
        <f t="shared" si="78"/>
        <v/>
      </c>
      <c r="AB487" s="5" t="str">
        <f t="shared" si="79"/>
        <v/>
      </c>
    </row>
    <row r="488" spans="1:28" ht="12" customHeight="1">
      <c r="A488" s="22">
        <v>496</v>
      </c>
      <c r="B488" s="30"/>
      <c r="C488" s="30"/>
      <c r="D488" s="29"/>
      <c r="E488" s="29"/>
      <c r="F488" s="29"/>
      <c r="G488" s="29"/>
      <c r="H488" s="29"/>
      <c r="I488" s="25" t="str">
        <f t="shared" si="70"/>
        <v/>
      </c>
      <c r="J488" s="29"/>
      <c r="K488" s="25" t="str">
        <f t="shared" si="71"/>
        <v/>
      </c>
      <c r="L488" s="26" t="str">
        <f t="shared" si="72"/>
        <v/>
      </c>
      <c r="M488" s="29"/>
      <c r="N488" s="29"/>
      <c r="O488" s="29"/>
      <c r="P488" s="29"/>
      <c r="Q488" s="29"/>
      <c r="R488" s="29"/>
      <c r="S488" s="29"/>
      <c r="T488" s="29"/>
      <c r="U488" s="26" t="str">
        <f t="shared" si="73"/>
        <v/>
      </c>
      <c r="V488" s="26"/>
      <c r="W488" s="26" t="str">
        <f t="shared" si="74"/>
        <v/>
      </c>
      <c r="X488" s="26" t="str">
        <f t="shared" si="75"/>
        <v/>
      </c>
      <c r="Y488" s="26" t="str">
        <f t="shared" si="76"/>
        <v/>
      </c>
      <c r="Z488" s="26" t="str">
        <f t="shared" si="77"/>
        <v/>
      </c>
      <c r="AA488" s="26" t="str">
        <f t="shared" si="78"/>
        <v/>
      </c>
      <c r="AB488" s="5" t="str">
        <f t="shared" si="79"/>
        <v/>
      </c>
    </row>
    <row r="489" spans="1:28" ht="12" customHeight="1">
      <c r="A489" s="22">
        <v>497</v>
      </c>
      <c r="B489" s="30"/>
      <c r="C489" s="30"/>
      <c r="D489" s="29"/>
      <c r="E489" s="29"/>
      <c r="F489" s="29"/>
      <c r="G489" s="29"/>
      <c r="H489" s="29"/>
      <c r="I489" s="25" t="str">
        <f t="shared" si="70"/>
        <v/>
      </c>
      <c r="J489" s="29"/>
      <c r="K489" s="25" t="str">
        <f t="shared" si="71"/>
        <v/>
      </c>
      <c r="L489" s="26" t="str">
        <f t="shared" si="72"/>
        <v/>
      </c>
      <c r="M489" s="29"/>
      <c r="N489" s="29"/>
      <c r="O489" s="29"/>
      <c r="P489" s="29"/>
      <c r="Q489" s="29"/>
      <c r="R489" s="29"/>
      <c r="S489" s="29"/>
      <c r="T489" s="29"/>
      <c r="U489" s="26" t="str">
        <f t="shared" si="73"/>
        <v/>
      </c>
      <c r="V489" s="26"/>
      <c r="W489" s="26" t="str">
        <f t="shared" si="74"/>
        <v/>
      </c>
      <c r="X489" s="26" t="str">
        <f t="shared" si="75"/>
        <v/>
      </c>
      <c r="Y489" s="26" t="str">
        <f t="shared" si="76"/>
        <v/>
      </c>
      <c r="Z489" s="26" t="str">
        <f t="shared" si="77"/>
        <v/>
      </c>
      <c r="AA489" s="26" t="str">
        <f t="shared" si="78"/>
        <v/>
      </c>
      <c r="AB489" s="5" t="str">
        <f t="shared" si="79"/>
        <v/>
      </c>
    </row>
    <row r="490" spans="1:28" ht="12" customHeight="1">
      <c r="A490" s="22">
        <v>498</v>
      </c>
      <c r="B490" s="30"/>
      <c r="C490" s="30"/>
      <c r="D490" s="29"/>
      <c r="E490" s="29"/>
      <c r="F490" s="29"/>
      <c r="G490" s="29"/>
      <c r="H490" s="29"/>
      <c r="I490" s="25" t="str">
        <f t="shared" si="70"/>
        <v/>
      </c>
      <c r="J490" s="29"/>
      <c r="K490" s="25" t="str">
        <f t="shared" si="71"/>
        <v/>
      </c>
      <c r="L490" s="26" t="str">
        <f t="shared" si="72"/>
        <v/>
      </c>
      <c r="M490" s="29"/>
      <c r="N490" s="29"/>
      <c r="O490" s="29"/>
      <c r="P490" s="29"/>
      <c r="Q490" s="29"/>
      <c r="R490" s="29"/>
      <c r="S490" s="29"/>
      <c r="T490" s="29"/>
      <c r="U490" s="26" t="str">
        <f t="shared" si="73"/>
        <v/>
      </c>
      <c r="V490" s="26"/>
      <c r="W490" s="26" t="str">
        <f t="shared" si="74"/>
        <v/>
      </c>
      <c r="X490" s="26" t="str">
        <f t="shared" si="75"/>
        <v/>
      </c>
      <c r="Y490" s="26" t="str">
        <f t="shared" si="76"/>
        <v/>
      </c>
      <c r="Z490" s="26" t="str">
        <f t="shared" si="77"/>
        <v/>
      </c>
      <c r="AA490" s="26" t="str">
        <f t="shared" si="78"/>
        <v/>
      </c>
      <c r="AB490" s="5" t="str">
        <f t="shared" si="79"/>
        <v/>
      </c>
    </row>
    <row r="491" spans="1:28" ht="12" customHeight="1">
      <c r="A491" s="22">
        <v>499</v>
      </c>
      <c r="B491" s="30"/>
      <c r="C491" s="30"/>
      <c r="D491" s="29"/>
      <c r="E491" s="29"/>
      <c r="F491" s="29"/>
      <c r="G491" s="29"/>
      <c r="H491" s="29"/>
      <c r="I491" s="25" t="str">
        <f t="shared" si="70"/>
        <v/>
      </c>
      <c r="J491" s="29"/>
      <c r="K491" s="25" t="str">
        <f t="shared" si="71"/>
        <v/>
      </c>
      <c r="L491" s="26" t="str">
        <f t="shared" si="72"/>
        <v/>
      </c>
      <c r="M491" s="29"/>
      <c r="N491" s="29"/>
      <c r="O491" s="29"/>
      <c r="P491" s="29"/>
      <c r="Q491" s="29"/>
      <c r="R491" s="29"/>
      <c r="S491" s="29"/>
      <c r="T491" s="29"/>
      <c r="U491" s="26" t="str">
        <f t="shared" si="73"/>
        <v/>
      </c>
      <c r="V491" s="26"/>
      <c r="W491" s="26" t="str">
        <f t="shared" si="74"/>
        <v/>
      </c>
      <c r="X491" s="26" t="str">
        <f t="shared" si="75"/>
        <v/>
      </c>
      <c r="Y491" s="26" t="str">
        <f t="shared" si="76"/>
        <v/>
      </c>
      <c r="Z491" s="26" t="str">
        <f t="shared" si="77"/>
        <v/>
      </c>
      <c r="AA491" s="26" t="str">
        <f t="shared" si="78"/>
        <v/>
      </c>
      <c r="AB491" s="5" t="str">
        <f t="shared" si="79"/>
        <v/>
      </c>
    </row>
    <row r="492" spans="1:28" ht="12" customHeight="1">
      <c r="A492" s="22">
        <v>500</v>
      </c>
      <c r="B492" s="30"/>
      <c r="C492" s="30"/>
      <c r="D492" s="29"/>
      <c r="E492" s="29"/>
      <c r="F492" s="29"/>
      <c r="G492" s="29"/>
      <c r="H492" s="29"/>
      <c r="I492" s="25" t="str">
        <f t="shared" si="70"/>
        <v/>
      </c>
      <c r="J492" s="29"/>
      <c r="K492" s="25" t="str">
        <f t="shared" si="71"/>
        <v/>
      </c>
      <c r="L492" s="26" t="str">
        <f t="shared" si="72"/>
        <v/>
      </c>
      <c r="M492" s="29"/>
      <c r="N492" s="29"/>
      <c r="O492" s="29"/>
      <c r="P492" s="29"/>
      <c r="Q492" s="29"/>
      <c r="R492" s="29"/>
      <c r="S492" s="29"/>
      <c r="T492" s="29"/>
      <c r="U492" s="26" t="str">
        <f t="shared" si="73"/>
        <v/>
      </c>
      <c r="V492" s="26"/>
      <c r="W492" s="26" t="str">
        <f t="shared" si="74"/>
        <v/>
      </c>
      <c r="X492" s="26" t="str">
        <f t="shared" si="75"/>
        <v/>
      </c>
      <c r="Y492" s="26" t="str">
        <f t="shared" si="76"/>
        <v/>
      </c>
      <c r="Z492" s="26" t="str">
        <f t="shared" si="77"/>
        <v/>
      </c>
      <c r="AA492" s="26" t="str">
        <f t="shared" si="78"/>
        <v/>
      </c>
      <c r="AB492" s="5" t="str">
        <f t="shared" si="79"/>
        <v/>
      </c>
    </row>
    <row r="493" spans="1:28" ht="12" customHeight="1">
      <c r="A493" s="22">
        <v>501</v>
      </c>
      <c r="B493" s="30"/>
      <c r="C493" s="30"/>
      <c r="D493" s="29"/>
      <c r="E493" s="29"/>
      <c r="F493" s="29"/>
      <c r="G493" s="29"/>
      <c r="H493" s="29"/>
      <c r="I493" s="25" t="str">
        <f t="shared" si="70"/>
        <v/>
      </c>
      <c r="J493" s="29"/>
      <c r="K493" s="25" t="str">
        <f t="shared" si="71"/>
        <v/>
      </c>
      <c r="L493" s="26" t="str">
        <f t="shared" si="72"/>
        <v/>
      </c>
      <c r="M493" s="29"/>
      <c r="N493" s="29"/>
      <c r="O493" s="29"/>
      <c r="P493" s="29"/>
      <c r="Q493" s="29"/>
      <c r="R493" s="29"/>
      <c r="S493" s="29"/>
      <c r="T493" s="29"/>
      <c r="U493" s="26" t="str">
        <f t="shared" si="73"/>
        <v/>
      </c>
      <c r="V493" s="26"/>
      <c r="W493" s="26" t="str">
        <f t="shared" si="74"/>
        <v/>
      </c>
      <c r="X493" s="26" t="str">
        <f t="shared" si="75"/>
        <v/>
      </c>
      <c r="Y493" s="26" t="str">
        <f t="shared" si="76"/>
        <v/>
      </c>
      <c r="Z493" s="26" t="str">
        <f t="shared" si="77"/>
        <v/>
      </c>
      <c r="AA493" s="26" t="str">
        <f t="shared" si="78"/>
        <v/>
      </c>
      <c r="AB493" s="5" t="str">
        <f t="shared" si="79"/>
        <v/>
      </c>
    </row>
    <row r="494" spans="1:28" ht="12" customHeight="1">
      <c r="A494" s="22">
        <v>502</v>
      </c>
      <c r="B494" s="30"/>
      <c r="C494" s="30"/>
      <c r="D494" s="29"/>
      <c r="E494" s="29"/>
      <c r="F494" s="29"/>
      <c r="G494" s="29"/>
      <c r="H494" s="29"/>
      <c r="I494" s="25" t="str">
        <f t="shared" si="70"/>
        <v/>
      </c>
      <c r="J494" s="29"/>
      <c r="K494" s="25" t="str">
        <f t="shared" si="71"/>
        <v/>
      </c>
      <c r="L494" s="26" t="str">
        <f t="shared" si="72"/>
        <v/>
      </c>
      <c r="M494" s="29"/>
      <c r="N494" s="29"/>
      <c r="O494" s="29"/>
      <c r="P494" s="29"/>
      <c r="Q494" s="29"/>
      <c r="R494" s="29"/>
      <c r="S494" s="29"/>
      <c r="T494" s="29"/>
      <c r="U494" s="26" t="str">
        <f t="shared" si="73"/>
        <v/>
      </c>
      <c r="V494" s="26"/>
      <c r="W494" s="26" t="str">
        <f t="shared" si="74"/>
        <v/>
      </c>
      <c r="X494" s="26" t="str">
        <f t="shared" si="75"/>
        <v/>
      </c>
      <c r="Y494" s="26" t="str">
        <f t="shared" si="76"/>
        <v/>
      </c>
      <c r="Z494" s="26" t="str">
        <f t="shared" si="77"/>
        <v/>
      </c>
      <c r="AA494" s="26" t="str">
        <f t="shared" si="78"/>
        <v/>
      </c>
      <c r="AB494" s="5" t="str">
        <f t="shared" si="79"/>
        <v/>
      </c>
    </row>
    <row r="495" spans="1:28" ht="12" customHeight="1">
      <c r="A495" s="22">
        <v>503</v>
      </c>
      <c r="B495" s="30"/>
      <c r="C495" s="30"/>
      <c r="D495" s="29"/>
      <c r="E495" s="29"/>
      <c r="F495" s="29"/>
      <c r="G495" s="29"/>
      <c r="H495" s="29"/>
      <c r="I495" s="25" t="str">
        <f t="shared" si="70"/>
        <v/>
      </c>
      <c r="J495" s="29"/>
      <c r="K495" s="25" t="str">
        <f t="shared" si="71"/>
        <v/>
      </c>
      <c r="L495" s="26" t="str">
        <f t="shared" si="72"/>
        <v/>
      </c>
      <c r="M495" s="29"/>
      <c r="N495" s="29"/>
      <c r="O495" s="29"/>
      <c r="P495" s="29"/>
      <c r="Q495" s="29"/>
      <c r="R495" s="29"/>
      <c r="S495" s="29"/>
      <c r="T495" s="29"/>
      <c r="U495" s="26" t="str">
        <f t="shared" si="73"/>
        <v/>
      </c>
      <c r="V495" s="26"/>
      <c r="W495" s="26" t="str">
        <f t="shared" si="74"/>
        <v/>
      </c>
      <c r="X495" s="26" t="str">
        <f t="shared" si="75"/>
        <v/>
      </c>
      <c r="Y495" s="26" t="str">
        <f t="shared" si="76"/>
        <v/>
      </c>
      <c r="Z495" s="26" t="str">
        <f t="shared" si="77"/>
        <v/>
      </c>
      <c r="AA495" s="26" t="str">
        <f t="shared" si="78"/>
        <v/>
      </c>
      <c r="AB495" s="5" t="str">
        <f t="shared" si="79"/>
        <v/>
      </c>
    </row>
    <row r="496" spans="1:28" ht="12" customHeight="1">
      <c r="A496" s="22">
        <v>504</v>
      </c>
      <c r="B496" s="30"/>
      <c r="C496" s="30"/>
      <c r="D496" s="29"/>
      <c r="E496" s="29"/>
      <c r="F496" s="29"/>
      <c r="G496" s="29"/>
      <c r="H496" s="29"/>
      <c r="I496" s="25" t="str">
        <f t="shared" si="70"/>
        <v/>
      </c>
      <c r="J496" s="29"/>
      <c r="K496" s="25" t="str">
        <f t="shared" si="71"/>
        <v/>
      </c>
      <c r="L496" s="26" t="str">
        <f t="shared" si="72"/>
        <v/>
      </c>
      <c r="M496" s="29"/>
      <c r="N496" s="29"/>
      <c r="O496" s="29"/>
      <c r="P496" s="29"/>
      <c r="Q496" s="29"/>
      <c r="R496" s="29"/>
      <c r="S496" s="29"/>
      <c r="T496" s="29"/>
      <c r="U496" s="26" t="str">
        <f t="shared" si="73"/>
        <v/>
      </c>
      <c r="V496" s="26"/>
      <c r="W496" s="26" t="str">
        <f t="shared" si="74"/>
        <v/>
      </c>
      <c r="X496" s="26" t="str">
        <f t="shared" si="75"/>
        <v/>
      </c>
      <c r="Y496" s="26" t="str">
        <f t="shared" si="76"/>
        <v/>
      </c>
      <c r="Z496" s="26" t="str">
        <f t="shared" si="77"/>
        <v/>
      </c>
      <c r="AA496" s="26" t="str">
        <f t="shared" si="78"/>
        <v/>
      </c>
      <c r="AB496" s="5" t="str">
        <f t="shared" si="79"/>
        <v/>
      </c>
    </row>
    <row r="497" spans="1:28" ht="12" customHeight="1">
      <c r="A497" s="22">
        <v>505</v>
      </c>
      <c r="B497" s="30"/>
      <c r="C497" s="30"/>
      <c r="D497" s="29"/>
      <c r="E497" s="29"/>
      <c r="F497" s="29"/>
      <c r="G497" s="29"/>
      <c r="H497" s="29"/>
      <c r="I497" s="25" t="str">
        <f t="shared" si="70"/>
        <v/>
      </c>
      <c r="J497" s="29"/>
      <c r="K497" s="25" t="str">
        <f t="shared" si="71"/>
        <v/>
      </c>
      <c r="L497" s="26" t="str">
        <f t="shared" si="72"/>
        <v/>
      </c>
      <c r="M497" s="29"/>
      <c r="N497" s="29"/>
      <c r="O497" s="29"/>
      <c r="P497" s="29"/>
      <c r="Q497" s="29"/>
      <c r="R497" s="29"/>
      <c r="S497" s="29"/>
      <c r="T497" s="29"/>
      <c r="U497" s="26" t="str">
        <f t="shared" si="73"/>
        <v/>
      </c>
      <c r="V497" s="26"/>
      <c r="W497" s="26" t="str">
        <f t="shared" si="74"/>
        <v/>
      </c>
      <c r="X497" s="26" t="str">
        <f t="shared" si="75"/>
        <v/>
      </c>
      <c r="Y497" s="26" t="str">
        <f t="shared" si="76"/>
        <v/>
      </c>
      <c r="Z497" s="26" t="str">
        <f t="shared" si="77"/>
        <v/>
      </c>
      <c r="AA497" s="26" t="str">
        <f t="shared" si="78"/>
        <v/>
      </c>
      <c r="AB497" s="5" t="str">
        <f t="shared" si="79"/>
        <v/>
      </c>
    </row>
    <row r="498" spans="1:28" ht="12" customHeight="1">
      <c r="A498" s="22">
        <v>506</v>
      </c>
      <c r="B498" s="30"/>
      <c r="C498" s="30"/>
      <c r="D498" s="29"/>
      <c r="E498" s="29"/>
      <c r="F498" s="29"/>
      <c r="G498" s="29"/>
      <c r="H498" s="29"/>
      <c r="I498" s="25" t="str">
        <f t="shared" si="70"/>
        <v/>
      </c>
      <c r="J498" s="29"/>
      <c r="K498" s="25" t="str">
        <f t="shared" si="71"/>
        <v/>
      </c>
      <c r="L498" s="26" t="str">
        <f t="shared" si="72"/>
        <v/>
      </c>
      <c r="M498" s="29"/>
      <c r="N498" s="29"/>
      <c r="O498" s="29"/>
      <c r="P498" s="29"/>
      <c r="Q498" s="29"/>
      <c r="R498" s="29"/>
      <c r="S498" s="29"/>
      <c r="T498" s="29"/>
      <c r="U498" s="26" t="str">
        <f t="shared" si="73"/>
        <v/>
      </c>
      <c r="V498" s="26"/>
      <c r="W498" s="26" t="str">
        <f t="shared" si="74"/>
        <v/>
      </c>
      <c r="X498" s="26" t="str">
        <f t="shared" si="75"/>
        <v/>
      </c>
      <c r="Y498" s="26" t="str">
        <f t="shared" si="76"/>
        <v/>
      </c>
      <c r="Z498" s="26" t="str">
        <f t="shared" si="77"/>
        <v/>
      </c>
      <c r="AA498" s="26" t="str">
        <f t="shared" si="78"/>
        <v/>
      </c>
      <c r="AB498" s="5" t="str">
        <f t="shared" si="79"/>
        <v/>
      </c>
    </row>
    <row r="499" spans="1:28" ht="12" customHeight="1">
      <c r="A499" s="22">
        <v>507</v>
      </c>
      <c r="B499" s="30"/>
      <c r="C499" s="30"/>
      <c r="D499" s="29"/>
      <c r="E499" s="29"/>
      <c r="F499" s="29"/>
      <c r="G499" s="29"/>
      <c r="H499" s="29"/>
      <c r="I499" s="25" t="str">
        <f t="shared" si="70"/>
        <v/>
      </c>
      <c r="J499" s="29"/>
      <c r="K499" s="25" t="str">
        <f t="shared" si="71"/>
        <v/>
      </c>
      <c r="L499" s="26" t="str">
        <f t="shared" si="72"/>
        <v/>
      </c>
      <c r="M499" s="29"/>
      <c r="N499" s="29"/>
      <c r="O499" s="29"/>
      <c r="P499" s="29"/>
      <c r="Q499" s="29"/>
      <c r="R499" s="29"/>
      <c r="S499" s="29"/>
      <c r="T499" s="29"/>
      <c r="U499" s="26" t="str">
        <f t="shared" si="73"/>
        <v/>
      </c>
      <c r="V499" s="26"/>
      <c r="W499" s="26" t="str">
        <f t="shared" si="74"/>
        <v/>
      </c>
      <c r="X499" s="26" t="str">
        <f t="shared" si="75"/>
        <v/>
      </c>
      <c r="Y499" s="26" t="str">
        <f t="shared" si="76"/>
        <v/>
      </c>
      <c r="Z499" s="26" t="str">
        <f t="shared" si="77"/>
        <v/>
      </c>
      <c r="AA499" s="26" t="str">
        <f t="shared" si="78"/>
        <v/>
      </c>
      <c r="AB499" s="5" t="str">
        <f t="shared" si="79"/>
        <v/>
      </c>
    </row>
    <row r="500" spans="1:28" ht="12" customHeight="1">
      <c r="A500" s="22">
        <v>508</v>
      </c>
      <c r="B500" s="30"/>
      <c r="C500" s="30"/>
      <c r="D500" s="29"/>
      <c r="E500" s="29"/>
      <c r="F500" s="29"/>
      <c r="G500" s="29"/>
      <c r="H500" s="29"/>
      <c r="I500" s="25" t="str">
        <f t="shared" si="70"/>
        <v/>
      </c>
      <c r="J500" s="29"/>
      <c r="K500" s="25" t="str">
        <f t="shared" si="71"/>
        <v/>
      </c>
      <c r="L500" s="26" t="str">
        <f t="shared" si="72"/>
        <v/>
      </c>
      <c r="M500" s="29"/>
      <c r="N500" s="29"/>
      <c r="O500" s="29"/>
      <c r="P500" s="29"/>
      <c r="Q500" s="29"/>
      <c r="R500" s="29"/>
      <c r="S500" s="29"/>
      <c r="T500" s="29"/>
      <c r="U500" s="26" t="str">
        <f t="shared" si="73"/>
        <v/>
      </c>
      <c r="V500" s="26"/>
      <c r="W500" s="26" t="str">
        <f t="shared" si="74"/>
        <v/>
      </c>
      <c r="X500" s="26" t="str">
        <f t="shared" si="75"/>
        <v/>
      </c>
      <c r="Y500" s="26" t="str">
        <f t="shared" si="76"/>
        <v/>
      </c>
      <c r="Z500" s="26" t="str">
        <f t="shared" si="77"/>
        <v/>
      </c>
      <c r="AA500" s="26" t="str">
        <f t="shared" si="78"/>
        <v/>
      </c>
      <c r="AB500" s="5" t="str">
        <f t="shared" si="79"/>
        <v/>
      </c>
    </row>
    <row r="501" spans="1:28" ht="12" customHeight="1">
      <c r="A501" s="22">
        <v>509</v>
      </c>
      <c r="B501" s="30"/>
      <c r="C501" s="30"/>
      <c r="D501" s="29"/>
      <c r="E501" s="29"/>
      <c r="F501" s="29"/>
      <c r="G501" s="29"/>
      <c r="H501" s="29"/>
      <c r="I501" s="25" t="str">
        <f t="shared" si="70"/>
        <v/>
      </c>
      <c r="J501" s="29"/>
      <c r="K501" s="25" t="str">
        <f t="shared" si="71"/>
        <v/>
      </c>
      <c r="L501" s="26" t="str">
        <f t="shared" si="72"/>
        <v/>
      </c>
      <c r="M501" s="29"/>
      <c r="N501" s="29"/>
      <c r="O501" s="29"/>
      <c r="P501" s="29"/>
      <c r="Q501" s="29"/>
      <c r="R501" s="29"/>
      <c r="S501" s="29"/>
      <c r="T501" s="29"/>
      <c r="U501" s="26" t="str">
        <f t="shared" si="73"/>
        <v/>
      </c>
      <c r="V501" s="26"/>
      <c r="W501" s="26" t="str">
        <f t="shared" si="74"/>
        <v/>
      </c>
      <c r="X501" s="26" t="str">
        <f t="shared" si="75"/>
        <v/>
      </c>
      <c r="Y501" s="26" t="str">
        <f t="shared" si="76"/>
        <v/>
      </c>
      <c r="Z501" s="26" t="str">
        <f t="shared" si="77"/>
        <v/>
      </c>
      <c r="AA501" s="26" t="str">
        <f t="shared" si="78"/>
        <v/>
      </c>
      <c r="AB501" s="5" t="str">
        <f t="shared" si="79"/>
        <v/>
      </c>
    </row>
    <row r="502" spans="1:28" ht="12" customHeight="1">
      <c r="A502" s="22">
        <v>510</v>
      </c>
      <c r="B502" s="30"/>
      <c r="C502" s="30"/>
      <c r="D502" s="29"/>
      <c r="E502" s="29"/>
      <c r="F502" s="29"/>
      <c r="G502" s="29"/>
      <c r="H502" s="29"/>
      <c r="I502" s="25" t="str">
        <f t="shared" si="70"/>
        <v/>
      </c>
      <c r="J502" s="29"/>
      <c r="K502" s="25" t="str">
        <f t="shared" si="71"/>
        <v/>
      </c>
      <c r="L502" s="26" t="str">
        <f t="shared" si="72"/>
        <v/>
      </c>
      <c r="M502" s="29"/>
      <c r="N502" s="29"/>
      <c r="O502" s="29"/>
      <c r="P502" s="29"/>
      <c r="Q502" s="29"/>
      <c r="R502" s="29"/>
      <c r="S502" s="29"/>
      <c r="T502" s="29"/>
      <c r="U502" s="26" t="str">
        <f t="shared" si="73"/>
        <v/>
      </c>
      <c r="V502" s="26"/>
      <c r="W502" s="26" t="str">
        <f t="shared" si="74"/>
        <v/>
      </c>
      <c r="X502" s="26" t="str">
        <f t="shared" si="75"/>
        <v/>
      </c>
      <c r="Y502" s="26" t="str">
        <f t="shared" si="76"/>
        <v/>
      </c>
      <c r="Z502" s="26" t="str">
        <f t="shared" si="77"/>
        <v/>
      </c>
      <c r="AA502" s="26" t="str">
        <f t="shared" si="78"/>
        <v/>
      </c>
      <c r="AB502" s="5" t="str">
        <f t="shared" si="79"/>
        <v/>
      </c>
    </row>
    <row r="503" spans="1:28" ht="12" customHeight="1">
      <c r="A503" s="22">
        <v>511</v>
      </c>
      <c r="B503" s="30"/>
      <c r="C503" s="30"/>
      <c r="D503" s="29"/>
      <c r="E503" s="29"/>
      <c r="F503" s="29"/>
      <c r="G503" s="29"/>
      <c r="H503" s="29"/>
      <c r="I503" s="25" t="str">
        <f t="shared" si="70"/>
        <v/>
      </c>
      <c r="J503" s="29"/>
      <c r="K503" s="25" t="str">
        <f t="shared" si="71"/>
        <v/>
      </c>
      <c r="L503" s="26" t="str">
        <f t="shared" si="72"/>
        <v/>
      </c>
      <c r="M503" s="29"/>
      <c r="N503" s="29"/>
      <c r="O503" s="29"/>
      <c r="P503" s="29"/>
      <c r="Q503" s="29"/>
      <c r="R503" s="29"/>
      <c r="S503" s="29"/>
      <c r="T503" s="29"/>
      <c r="U503" s="26" t="str">
        <f t="shared" si="73"/>
        <v/>
      </c>
      <c r="V503" s="26"/>
      <c r="W503" s="26" t="str">
        <f t="shared" si="74"/>
        <v/>
      </c>
      <c r="X503" s="26" t="str">
        <f t="shared" si="75"/>
        <v/>
      </c>
      <c r="Y503" s="26" t="str">
        <f t="shared" si="76"/>
        <v/>
      </c>
      <c r="Z503" s="26" t="str">
        <f t="shared" si="77"/>
        <v/>
      </c>
      <c r="AA503" s="26" t="str">
        <f t="shared" si="78"/>
        <v/>
      </c>
      <c r="AB503" s="5" t="str">
        <f t="shared" si="79"/>
        <v/>
      </c>
    </row>
    <row r="504" spans="1:28" ht="12" customHeight="1">
      <c r="A504" s="22">
        <v>512</v>
      </c>
      <c r="B504" s="30"/>
      <c r="C504" s="30"/>
      <c r="D504" s="29"/>
      <c r="E504" s="29"/>
      <c r="F504" s="29"/>
      <c r="G504" s="29"/>
      <c r="H504" s="29"/>
      <c r="I504" s="25" t="str">
        <f t="shared" si="70"/>
        <v/>
      </c>
      <c r="J504" s="29"/>
      <c r="K504" s="25" t="str">
        <f t="shared" si="71"/>
        <v/>
      </c>
      <c r="L504" s="26" t="str">
        <f t="shared" si="72"/>
        <v/>
      </c>
      <c r="M504" s="29"/>
      <c r="N504" s="29"/>
      <c r="O504" s="29"/>
      <c r="P504" s="29"/>
      <c r="Q504" s="29"/>
      <c r="R504" s="29"/>
      <c r="S504" s="29"/>
      <c r="T504" s="29"/>
      <c r="U504" s="26" t="str">
        <f t="shared" si="73"/>
        <v/>
      </c>
      <c r="V504" s="26"/>
      <c r="W504" s="26" t="str">
        <f t="shared" si="74"/>
        <v/>
      </c>
      <c r="X504" s="26" t="str">
        <f t="shared" si="75"/>
        <v/>
      </c>
      <c r="Y504" s="26" t="str">
        <f t="shared" si="76"/>
        <v/>
      </c>
      <c r="Z504" s="26" t="str">
        <f t="shared" si="77"/>
        <v/>
      </c>
      <c r="AA504" s="26" t="str">
        <f t="shared" si="78"/>
        <v/>
      </c>
      <c r="AB504" s="5" t="str">
        <f t="shared" si="79"/>
        <v/>
      </c>
    </row>
    <row r="505" spans="1:28" ht="12" customHeight="1">
      <c r="A505" s="22">
        <v>513</v>
      </c>
      <c r="B505" s="30"/>
      <c r="C505" s="30"/>
      <c r="D505" s="29"/>
      <c r="E505" s="29"/>
      <c r="F505" s="29"/>
      <c r="G505" s="29"/>
      <c r="H505" s="29"/>
      <c r="I505" s="25" t="str">
        <f t="shared" si="70"/>
        <v/>
      </c>
      <c r="J505" s="29"/>
      <c r="K505" s="25" t="str">
        <f t="shared" si="71"/>
        <v/>
      </c>
      <c r="L505" s="26" t="str">
        <f t="shared" si="72"/>
        <v/>
      </c>
      <c r="M505" s="29"/>
      <c r="N505" s="29"/>
      <c r="O505" s="29"/>
      <c r="P505" s="29"/>
      <c r="Q505" s="29"/>
      <c r="R505" s="29"/>
      <c r="S505" s="29"/>
      <c r="T505" s="29"/>
      <c r="U505" s="26" t="str">
        <f t="shared" si="73"/>
        <v/>
      </c>
      <c r="V505" s="26"/>
      <c r="W505" s="26" t="str">
        <f t="shared" si="74"/>
        <v/>
      </c>
      <c r="X505" s="26" t="str">
        <f t="shared" si="75"/>
        <v/>
      </c>
      <c r="Y505" s="26" t="str">
        <f t="shared" si="76"/>
        <v/>
      </c>
      <c r="Z505" s="26" t="str">
        <f t="shared" si="77"/>
        <v/>
      </c>
      <c r="AA505" s="26" t="str">
        <f t="shared" si="78"/>
        <v/>
      </c>
      <c r="AB505" s="5" t="str">
        <f t="shared" si="79"/>
        <v/>
      </c>
    </row>
    <row r="506" spans="1:28" ht="12" customHeight="1">
      <c r="A506" s="22">
        <v>514</v>
      </c>
      <c r="B506" s="30"/>
      <c r="C506" s="30"/>
      <c r="D506" s="29"/>
      <c r="E506" s="29"/>
      <c r="F506" s="29"/>
      <c r="G506" s="29"/>
      <c r="H506" s="29"/>
      <c r="I506" s="25" t="str">
        <f t="shared" si="70"/>
        <v/>
      </c>
      <c r="J506" s="29"/>
      <c r="K506" s="25" t="str">
        <f t="shared" si="71"/>
        <v/>
      </c>
      <c r="L506" s="26" t="str">
        <f t="shared" si="72"/>
        <v/>
      </c>
      <c r="M506" s="29"/>
      <c r="N506" s="29"/>
      <c r="O506" s="29"/>
      <c r="P506" s="29"/>
      <c r="Q506" s="29"/>
      <c r="R506" s="29"/>
      <c r="S506" s="29"/>
      <c r="T506" s="29"/>
      <c r="U506" s="26" t="str">
        <f t="shared" si="73"/>
        <v/>
      </c>
      <c r="V506" s="26"/>
      <c r="W506" s="26" t="str">
        <f t="shared" si="74"/>
        <v/>
      </c>
      <c r="X506" s="26" t="str">
        <f t="shared" si="75"/>
        <v/>
      </c>
      <c r="Y506" s="26" t="str">
        <f t="shared" si="76"/>
        <v/>
      </c>
      <c r="Z506" s="26" t="str">
        <f t="shared" si="77"/>
        <v/>
      </c>
      <c r="AA506" s="26" t="str">
        <f t="shared" si="78"/>
        <v/>
      </c>
      <c r="AB506" s="5" t="str">
        <f t="shared" si="79"/>
        <v/>
      </c>
    </row>
    <row r="507" spans="1:28" ht="12" customHeight="1">
      <c r="A507" s="22">
        <v>515</v>
      </c>
      <c r="B507" s="30"/>
      <c r="C507" s="30"/>
      <c r="D507" s="29"/>
      <c r="E507" s="29"/>
      <c r="F507" s="29"/>
      <c r="G507" s="29"/>
      <c r="H507" s="29"/>
      <c r="I507" s="25" t="str">
        <f t="shared" si="70"/>
        <v/>
      </c>
      <c r="J507" s="29"/>
      <c r="K507" s="25" t="str">
        <f t="shared" si="71"/>
        <v/>
      </c>
      <c r="L507" s="26" t="str">
        <f t="shared" si="72"/>
        <v/>
      </c>
      <c r="M507" s="29"/>
      <c r="N507" s="29"/>
      <c r="O507" s="29"/>
      <c r="P507" s="29"/>
      <c r="Q507" s="29"/>
      <c r="R507" s="29"/>
      <c r="S507" s="29"/>
      <c r="T507" s="29"/>
      <c r="U507" s="26" t="str">
        <f t="shared" si="73"/>
        <v/>
      </c>
      <c r="V507" s="26"/>
      <c r="W507" s="26" t="str">
        <f t="shared" si="74"/>
        <v/>
      </c>
      <c r="X507" s="26" t="str">
        <f t="shared" si="75"/>
        <v/>
      </c>
      <c r="Y507" s="26" t="str">
        <f t="shared" si="76"/>
        <v/>
      </c>
      <c r="Z507" s="26" t="str">
        <f t="shared" si="77"/>
        <v/>
      </c>
      <c r="AA507" s="26" t="str">
        <f t="shared" si="78"/>
        <v/>
      </c>
      <c r="AB507" s="5" t="str">
        <f t="shared" si="79"/>
        <v/>
      </c>
    </row>
    <row r="508" spans="1:28" ht="12" customHeight="1">
      <c r="A508" s="22">
        <v>516</v>
      </c>
      <c r="B508" s="30"/>
      <c r="C508" s="30"/>
      <c r="D508" s="29"/>
      <c r="E508" s="29"/>
      <c r="F508" s="29"/>
      <c r="G508" s="29"/>
      <c r="H508" s="29"/>
      <c r="I508" s="25" t="str">
        <f t="shared" si="70"/>
        <v/>
      </c>
      <c r="J508" s="29"/>
      <c r="K508" s="25" t="str">
        <f t="shared" si="71"/>
        <v/>
      </c>
      <c r="L508" s="26" t="str">
        <f t="shared" si="72"/>
        <v/>
      </c>
      <c r="M508" s="29"/>
      <c r="N508" s="29"/>
      <c r="O508" s="29"/>
      <c r="P508" s="29"/>
      <c r="Q508" s="29"/>
      <c r="R508" s="29"/>
      <c r="S508" s="29"/>
      <c r="T508" s="29"/>
      <c r="U508" s="26" t="str">
        <f t="shared" si="73"/>
        <v/>
      </c>
      <c r="V508" s="26"/>
      <c r="W508" s="26" t="str">
        <f t="shared" si="74"/>
        <v/>
      </c>
      <c r="X508" s="26" t="str">
        <f t="shared" si="75"/>
        <v/>
      </c>
      <c r="Y508" s="26" t="str">
        <f t="shared" si="76"/>
        <v/>
      </c>
      <c r="Z508" s="26" t="str">
        <f t="shared" si="77"/>
        <v/>
      </c>
      <c r="AA508" s="26" t="str">
        <f t="shared" si="78"/>
        <v/>
      </c>
      <c r="AB508" s="5" t="str">
        <f t="shared" si="79"/>
        <v/>
      </c>
    </row>
    <row r="509" spans="1:28" ht="12" customHeight="1">
      <c r="A509" s="22">
        <v>517</v>
      </c>
      <c r="B509" s="30"/>
      <c r="C509" s="30"/>
      <c r="D509" s="29"/>
      <c r="E509" s="29"/>
      <c r="F509" s="29"/>
      <c r="G509" s="29"/>
      <c r="H509" s="29"/>
      <c r="I509" s="25" t="str">
        <f t="shared" si="70"/>
        <v/>
      </c>
      <c r="J509" s="29"/>
      <c r="K509" s="25" t="str">
        <f t="shared" si="71"/>
        <v/>
      </c>
      <c r="L509" s="26" t="str">
        <f t="shared" si="72"/>
        <v/>
      </c>
      <c r="M509" s="29"/>
      <c r="N509" s="29"/>
      <c r="O509" s="29"/>
      <c r="P509" s="29"/>
      <c r="Q509" s="29"/>
      <c r="R509" s="29"/>
      <c r="S509" s="29"/>
      <c r="T509" s="29"/>
      <c r="U509" s="26" t="str">
        <f t="shared" si="73"/>
        <v/>
      </c>
      <c r="V509" s="26"/>
      <c r="W509" s="26" t="str">
        <f t="shared" si="74"/>
        <v/>
      </c>
      <c r="X509" s="26" t="str">
        <f t="shared" si="75"/>
        <v/>
      </c>
      <c r="Y509" s="26" t="str">
        <f t="shared" si="76"/>
        <v/>
      </c>
      <c r="Z509" s="26" t="str">
        <f t="shared" si="77"/>
        <v/>
      </c>
      <c r="AA509" s="26" t="str">
        <f t="shared" si="78"/>
        <v/>
      </c>
      <c r="AB509" s="5" t="str">
        <f t="shared" si="79"/>
        <v/>
      </c>
    </row>
    <row r="510" spans="1:28" ht="12" customHeight="1">
      <c r="A510" s="22">
        <v>518</v>
      </c>
      <c r="B510" s="30"/>
      <c r="C510" s="30"/>
      <c r="D510" s="29"/>
      <c r="E510" s="29"/>
      <c r="F510" s="29"/>
      <c r="G510" s="29"/>
      <c r="H510" s="29"/>
      <c r="I510" s="25" t="str">
        <f t="shared" si="70"/>
        <v/>
      </c>
      <c r="J510" s="29"/>
      <c r="K510" s="25" t="str">
        <f t="shared" si="71"/>
        <v/>
      </c>
      <c r="L510" s="26" t="str">
        <f t="shared" si="72"/>
        <v/>
      </c>
      <c r="M510" s="29"/>
      <c r="N510" s="29"/>
      <c r="O510" s="29"/>
      <c r="P510" s="29"/>
      <c r="Q510" s="29"/>
      <c r="R510" s="29"/>
      <c r="S510" s="29"/>
      <c r="T510" s="29"/>
      <c r="U510" s="26" t="str">
        <f t="shared" si="73"/>
        <v/>
      </c>
      <c r="V510" s="26"/>
      <c r="W510" s="26" t="str">
        <f t="shared" si="74"/>
        <v/>
      </c>
      <c r="X510" s="26" t="str">
        <f t="shared" si="75"/>
        <v/>
      </c>
      <c r="Y510" s="26" t="str">
        <f t="shared" si="76"/>
        <v/>
      </c>
      <c r="Z510" s="26" t="str">
        <f t="shared" si="77"/>
        <v/>
      </c>
      <c r="AA510" s="26" t="str">
        <f t="shared" si="78"/>
        <v/>
      </c>
      <c r="AB510" s="5" t="str">
        <f t="shared" si="79"/>
        <v/>
      </c>
    </row>
    <row r="511" spans="1:28" ht="12" customHeight="1">
      <c r="A511" s="22">
        <v>519</v>
      </c>
      <c r="B511" s="30"/>
      <c r="C511" s="30"/>
      <c r="D511" s="29"/>
      <c r="E511" s="29"/>
      <c r="F511" s="29"/>
      <c r="G511" s="29"/>
      <c r="H511" s="29"/>
      <c r="I511" s="25" t="str">
        <f t="shared" si="70"/>
        <v/>
      </c>
      <c r="J511" s="29"/>
      <c r="K511" s="25" t="str">
        <f t="shared" si="71"/>
        <v/>
      </c>
      <c r="L511" s="26" t="str">
        <f t="shared" si="72"/>
        <v/>
      </c>
      <c r="M511" s="29"/>
      <c r="N511" s="29"/>
      <c r="O511" s="29"/>
      <c r="P511" s="29"/>
      <c r="Q511" s="29"/>
      <c r="R511" s="29"/>
      <c r="S511" s="29"/>
      <c r="T511" s="29"/>
      <c r="U511" s="26" t="str">
        <f t="shared" si="73"/>
        <v/>
      </c>
      <c r="V511" s="26"/>
      <c r="W511" s="26" t="str">
        <f t="shared" si="74"/>
        <v/>
      </c>
      <c r="X511" s="26" t="str">
        <f t="shared" si="75"/>
        <v/>
      </c>
      <c r="Y511" s="26" t="str">
        <f t="shared" si="76"/>
        <v/>
      </c>
      <c r="Z511" s="26" t="str">
        <f t="shared" si="77"/>
        <v/>
      </c>
      <c r="AA511" s="26" t="str">
        <f t="shared" si="78"/>
        <v/>
      </c>
      <c r="AB511" s="5" t="str">
        <f t="shared" si="79"/>
        <v/>
      </c>
    </row>
    <row r="512" spans="1:28" ht="12" customHeight="1">
      <c r="A512" s="22">
        <v>520</v>
      </c>
      <c r="B512" s="30"/>
      <c r="C512" s="30"/>
      <c r="D512" s="29"/>
      <c r="E512" s="29"/>
      <c r="F512" s="29"/>
      <c r="G512" s="29"/>
      <c r="H512" s="29"/>
      <c r="I512" s="25" t="str">
        <f t="shared" si="70"/>
        <v/>
      </c>
      <c r="J512" s="29"/>
      <c r="K512" s="25" t="str">
        <f t="shared" si="71"/>
        <v/>
      </c>
      <c r="L512" s="26" t="str">
        <f t="shared" si="72"/>
        <v/>
      </c>
      <c r="M512" s="29"/>
      <c r="N512" s="29"/>
      <c r="O512" s="29"/>
      <c r="P512" s="29"/>
      <c r="Q512" s="29"/>
      <c r="R512" s="29"/>
      <c r="S512" s="29"/>
      <c r="T512" s="29"/>
      <c r="U512" s="26" t="str">
        <f t="shared" si="73"/>
        <v/>
      </c>
      <c r="V512" s="26"/>
      <c r="W512" s="26" t="str">
        <f t="shared" si="74"/>
        <v/>
      </c>
      <c r="X512" s="26" t="str">
        <f t="shared" si="75"/>
        <v/>
      </c>
      <c r="Y512" s="26" t="str">
        <f t="shared" si="76"/>
        <v/>
      </c>
      <c r="Z512" s="26" t="str">
        <f t="shared" si="77"/>
        <v/>
      </c>
      <c r="AA512" s="26" t="str">
        <f t="shared" si="78"/>
        <v/>
      </c>
      <c r="AB512" s="5" t="str">
        <f t="shared" si="79"/>
        <v/>
      </c>
    </row>
    <row r="513" spans="1:28" ht="12" customHeight="1">
      <c r="A513" s="22">
        <v>521</v>
      </c>
      <c r="B513" s="30"/>
      <c r="C513" s="30"/>
      <c r="D513" s="29"/>
      <c r="E513" s="29"/>
      <c r="F513" s="29"/>
      <c r="G513" s="29"/>
      <c r="H513" s="29"/>
      <c r="I513" s="25" t="str">
        <f t="shared" si="70"/>
        <v/>
      </c>
      <c r="J513" s="29"/>
      <c r="K513" s="25" t="str">
        <f t="shared" si="71"/>
        <v/>
      </c>
      <c r="L513" s="26" t="str">
        <f t="shared" si="72"/>
        <v/>
      </c>
      <c r="M513" s="29"/>
      <c r="N513" s="29"/>
      <c r="O513" s="29"/>
      <c r="P513" s="29"/>
      <c r="Q513" s="29"/>
      <c r="R513" s="29"/>
      <c r="S513" s="29"/>
      <c r="T513" s="29"/>
      <c r="U513" s="26" t="str">
        <f t="shared" si="73"/>
        <v/>
      </c>
      <c r="V513" s="26"/>
      <c r="W513" s="26" t="str">
        <f t="shared" si="74"/>
        <v/>
      </c>
      <c r="X513" s="26" t="str">
        <f t="shared" si="75"/>
        <v/>
      </c>
      <c r="Y513" s="26" t="str">
        <f t="shared" si="76"/>
        <v/>
      </c>
      <c r="Z513" s="26" t="str">
        <f t="shared" si="77"/>
        <v/>
      </c>
      <c r="AA513" s="26" t="str">
        <f t="shared" si="78"/>
        <v/>
      </c>
      <c r="AB513" s="5" t="str">
        <f t="shared" si="79"/>
        <v/>
      </c>
    </row>
    <row r="514" spans="1:28" ht="12" customHeight="1">
      <c r="A514" s="22">
        <v>522</v>
      </c>
      <c r="B514" s="30"/>
      <c r="C514" s="30"/>
      <c r="D514" s="29"/>
      <c r="E514" s="29"/>
      <c r="F514" s="29"/>
      <c r="G514" s="29"/>
      <c r="H514" s="29"/>
      <c r="I514" s="25" t="str">
        <f t="shared" si="70"/>
        <v/>
      </c>
      <c r="J514" s="29"/>
      <c r="K514" s="25" t="str">
        <f t="shared" si="71"/>
        <v/>
      </c>
      <c r="L514" s="26" t="str">
        <f t="shared" si="72"/>
        <v/>
      </c>
      <c r="M514" s="29"/>
      <c r="N514" s="29"/>
      <c r="O514" s="29"/>
      <c r="P514" s="29"/>
      <c r="Q514" s="29"/>
      <c r="R514" s="29"/>
      <c r="S514" s="29"/>
      <c r="T514" s="29"/>
      <c r="U514" s="26" t="str">
        <f t="shared" si="73"/>
        <v/>
      </c>
      <c r="V514" s="26"/>
      <c r="W514" s="26" t="str">
        <f t="shared" si="74"/>
        <v/>
      </c>
      <c r="X514" s="26" t="str">
        <f t="shared" si="75"/>
        <v/>
      </c>
      <c r="Y514" s="26" t="str">
        <f t="shared" si="76"/>
        <v/>
      </c>
      <c r="Z514" s="26" t="str">
        <f t="shared" si="77"/>
        <v/>
      </c>
      <c r="AA514" s="26" t="str">
        <f t="shared" si="78"/>
        <v/>
      </c>
      <c r="AB514" s="5" t="str">
        <f t="shared" si="79"/>
        <v/>
      </c>
    </row>
    <row r="515" spans="1:28" ht="12" customHeight="1">
      <c r="A515" s="22">
        <v>523</v>
      </c>
      <c r="B515" s="30"/>
      <c r="C515" s="30"/>
      <c r="D515" s="29"/>
      <c r="E515" s="29"/>
      <c r="F515" s="29"/>
      <c r="G515" s="29"/>
      <c r="H515" s="29"/>
      <c r="I515" s="25" t="str">
        <f t="shared" si="70"/>
        <v/>
      </c>
      <c r="J515" s="29"/>
      <c r="K515" s="25" t="str">
        <f t="shared" si="71"/>
        <v/>
      </c>
      <c r="L515" s="26" t="str">
        <f t="shared" si="72"/>
        <v/>
      </c>
      <c r="M515" s="29"/>
      <c r="N515" s="29"/>
      <c r="O515" s="29"/>
      <c r="P515" s="29"/>
      <c r="Q515" s="29"/>
      <c r="R515" s="29"/>
      <c r="S515" s="29"/>
      <c r="T515" s="29"/>
      <c r="U515" s="26" t="str">
        <f t="shared" si="73"/>
        <v/>
      </c>
      <c r="V515" s="26"/>
      <c r="W515" s="26" t="str">
        <f t="shared" si="74"/>
        <v/>
      </c>
      <c r="X515" s="26" t="str">
        <f t="shared" si="75"/>
        <v/>
      </c>
      <c r="Y515" s="26" t="str">
        <f t="shared" si="76"/>
        <v/>
      </c>
      <c r="Z515" s="26" t="str">
        <f t="shared" si="77"/>
        <v/>
      </c>
      <c r="AA515" s="26" t="str">
        <f t="shared" si="78"/>
        <v/>
      </c>
      <c r="AB515" s="5" t="str">
        <f t="shared" si="79"/>
        <v/>
      </c>
    </row>
    <row r="516" spans="1:28" ht="12" customHeight="1">
      <c r="A516" s="22">
        <v>524</v>
      </c>
      <c r="B516" s="30"/>
      <c r="C516" s="30"/>
      <c r="D516" s="29"/>
      <c r="E516" s="29"/>
      <c r="F516" s="29"/>
      <c r="G516" s="29"/>
      <c r="H516" s="29"/>
      <c r="I516" s="25" t="str">
        <f t="shared" si="70"/>
        <v/>
      </c>
      <c r="J516" s="29"/>
      <c r="K516" s="25" t="str">
        <f t="shared" si="71"/>
        <v/>
      </c>
      <c r="L516" s="26" t="str">
        <f t="shared" si="72"/>
        <v/>
      </c>
      <c r="M516" s="29"/>
      <c r="N516" s="29"/>
      <c r="O516" s="29"/>
      <c r="P516" s="29"/>
      <c r="Q516" s="29"/>
      <c r="R516" s="29"/>
      <c r="S516" s="29"/>
      <c r="T516" s="29"/>
      <c r="U516" s="26" t="str">
        <f t="shared" si="73"/>
        <v/>
      </c>
      <c r="V516" s="26"/>
      <c r="W516" s="26" t="str">
        <f t="shared" si="74"/>
        <v/>
      </c>
      <c r="X516" s="26" t="str">
        <f t="shared" si="75"/>
        <v/>
      </c>
      <c r="Y516" s="26" t="str">
        <f t="shared" si="76"/>
        <v/>
      </c>
      <c r="Z516" s="26" t="str">
        <f t="shared" si="77"/>
        <v/>
      </c>
      <c r="AA516" s="26" t="str">
        <f t="shared" si="78"/>
        <v/>
      </c>
      <c r="AB516" s="5" t="str">
        <f t="shared" si="79"/>
        <v/>
      </c>
    </row>
    <row r="517" spans="1:28" ht="12" customHeight="1">
      <c r="A517" s="22">
        <v>525</v>
      </c>
      <c r="B517" s="30"/>
      <c r="C517" s="30"/>
      <c r="D517" s="29"/>
      <c r="E517" s="29"/>
      <c r="F517" s="29"/>
      <c r="G517" s="29"/>
      <c r="H517" s="29"/>
      <c r="I517" s="25" t="str">
        <f t="shared" si="70"/>
        <v/>
      </c>
      <c r="J517" s="29"/>
      <c r="K517" s="25" t="str">
        <f t="shared" si="71"/>
        <v/>
      </c>
      <c r="L517" s="26" t="str">
        <f t="shared" si="72"/>
        <v/>
      </c>
      <c r="M517" s="29"/>
      <c r="N517" s="29"/>
      <c r="O517" s="29"/>
      <c r="P517" s="29"/>
      <c r="Q517" s="29"/>
      <c r="R517" s="29"/>
      <c r="S517" s="29"/>
      <c r="T517" s="29"/>
      <c r="U517" s="26" t="str">
        <f t="shared" si="73"/>
        <v/>
      </c>
      <c r="V517" s="26"/>
      <c r="W517" s="26" t="str">
        <f t="shared" si="74"/>
        <v/>
      </c>
      <c r="X517" s="26" t="str">
        <f t="shared" si="75"/>
        <v/>
      </c>
      <c r="Y517" s="26" t="str">
        <f t="shared" si="76"/>
        <v/>
      </c>
      <c r="Z517" s="26" t="str">
        <f t="shared" si="77"/>
        <v/>
      </c>
      <c r="AA517" s="26" t="str">
        <f t="shared" si="78"/>
        <v/>
      </c>
      <c r="AB517" s="5" t="str">
        <f t="shared" si="79"/>
        <v/>
      </c>
    </row>
    <row r="518" spans="1:28" ht="12" customHeight="1">
      <c r="A518" s="22">
        <v>526</v>
      </c>
      <c r="B518" s="30"/>
      <c r="C518" s="30"/>
      <c r="D518" s="29"/>
      <c r="E518" s="29"/>
      <c r="F518" s="29"/>
      <c r="G518" s="29"/>
      <c r="H518" s="29"/>
      <c r="I518" s="25" t="str">
        <f t="shared" ref="I518:I581" si="80">IFERROR(IF(H518="Unlikely",1,IF(H518="Possible",2,IF(H518="Likely",3,IF(H518="Almost Certain",4,IF(H518="Certain",5,""))))),"")</f>
        <v/>
      </c>
      <c r="J518" s="29"/>
      <c r="K518" s="25" t="str">
        <f t="shared" ref="K518:K581" si="81">IFERROR(IF(J518="Negligible",1,IF(J518="Minor",2,IF(J518="Moderate",3,IF(J518="Major",4,IF(J518="Critical",5,""))))),"")</f>
        <v/>
      </c>
      <c r="L518" s="26" t="str">
        <f t="shared" ref="L518:L581" si="82">IF(OR(I518="",K518=""),"",I518*K518)</f>
        <v/>
      </c>
      <c r="M518" s="29"/>
      <c r="N518" s="29"/>
      <c r="O518" s="29"/>
      <c r="P518" s="29"/>
      <c r="Q518" s="29"/>
      <c r="R518" s="29"/>
      <c r="S518" s="29"/>
      <c r="T518" s="29"/>
      <c r="U518" s="26" t="str">
        <f t="shared" ref="U518:U581" si="83">IF(L518="","",IF(L518&lt;=4,"Low",IF(L518&lt;=9,"Medium",IF(L518&lt;=15,"High","Critical"))))</f>
        <v/>
      </c>
      <c r="V518" s="26"/>
      <c r="W518" s="26" t="str">
        <f t="shared" ref="W518:W581" si="84">IF(I518="","",MAX(1,I518-(IF(V518="Limited",1,IF(V518="Partial",2,IF(V518="Substantial",3,IF(V518="Highly Effective",4,0)))))))</f>
        <v/>
      </c>
      <c r="X518" s="26" t="str">
        <f t="shared" ref="X518:X581" si="85">IF(K518="","",MAX(1,K518-ROUNDDOWN((IF(V518="Limited",1,IF(V518="Partial",2,IF(V518="Substantial",3,IF(V518="Highly Effective",4,0)))))/2,0)))</f>
        <v/>
      </c>
      <c r="Y518" s="26" t="str">
        <f t="shared" ref="Y518:Y581" si="86">IF(OR(W518="",X518=""),"",W518*X518)</f>
        <v/>
      </c>
      <c r="Z518" s="26" t="str">
        <f t="shared" ref="Z518:Z581" si="87">IF(Y518="","",IF(Y518&lt;=4,"Low",IF(Y518&lt;=9,"Medium",IF(Y518&lt;=15,"High","Critical"))))</f>
        <v/>
      </c>
      <c r="AA518" s="26" t="str">
        <f t="shared" ref="AA518:AA581" si="88">IF(OR(L518="",Y518=""),"",IF(Y518&lt;L518,"Reduced by "&amp;(L518-Y518)&amp;" pts",IF(Y518=L518,"No Change","Increased by "&amp;(Y518-L518)&amp;" pts")))</f>
        <v/>
      </c>
      <c r="AB518" s="5" t="str">
        <f t="shared" ref="AB518:AB581" si="89">IF(Y518="","",Y518+(ROW()/10000000))</f>
        <v/>
      </c>
    </row>
    <row r="519" spans="1:28" ht="12" customHeight="1">
      <c r="A519" s="22">
        <v>527</v>
      </c>
      <c r="B519" s="30"/>
      <c r="C519" s="30"/>
      <c r="D519" s="29"/>
      <c r="E519" s="29"/>
      <c r="F519" s="29"/>
      <c r="G519" s="29"/>
      <c r="H519" s="29"/>
      <c r="I519" s="25" t="str">
        <f t="shared" si="80"/>
        <v/>
      </c>
      <c r="J519" s="29"/>
      <c r="K519" s="25" t="str">
        <f t="shared" si="81"/>
        <v/>
      </c>
      <c r="L519" s="26" t="str">
        <f t="shared" si="82"/>
        <v/>
      </c>
      <c r="M519" s="29"/>
      <c r="N519" s="29"/>
      <c r="O519" s="29"/>
      <c r="P519" s="29"/>
      <c r="Q519" s="29"/>
      <c r="R519" s="29"/>
      <c r="S519" s="29"/>
      <c r="T519" s="29"/>
      <c r="U519" s="26" t="str">
        <f t="shared" si="83"/>
        <v/>
      </c>
      <c r="V519" s="26"/>
      <c r="W519" s="26" t="str">
        <f t="shared" si="84"/>
        <v/>
      </c>
      <c r="X519" s="26" t="str">
        <f t="shared" si="85"/>
        <v/>
      </c>
      <c r="Y519" s="26" t="str">
        <f t="shared" si="86"/>
        <v/>
      </c>
      <c r="Z519" s="26" t="str">
        <f t="shared" si="87"/>
        <v/>
      </c>
      <c r="AA519" s="26" t="str">
        <f t="shared" si="88"/>
        <v/>
      </c>
      <c r="AB519" s="5" t="str">
        <f t="shared" si="89"/>
        <v/>
      </c>
    </row>
    <row r="520" spans="1:28" ht="12" customHeight="1">
      <c r="A520" s="22">
        <v>528</v>
      </c>
      <c r="B520" s="30"/>
      <c r="C520" s="30"/>
      <c r="D520" s="29"/>
      <c r="E520" s="29"/>
      <c r="F520" s="29"/>
      <c r="G520" s="29"/>
      <c r="H520" s="29"/>
      <c r="I520" s="25" t="str">
        <f t="shared" si="80"/>
        <v/>
      </c>
      <c r="J520" s="29"/>
      <c r="K520" s="25" t="str">
        <f t="shared" si="81"/>
        <v/>
      </c>
      <c r="L520" s="26" t="str">
        <f t="shared" si="82"/>
        <v/>
      </c>
      <c r="M520" s="29"/>
      <c r="N520" s="29"/>
      <c r="O520" s="29"/>
      <c r="P520" s="29"/>
      <c r="Q520" s="29"/>
      <c r="R520" s="29"/>
      <c r="S520" s="29"/>
      <c r="T520" s="29"/>
      <c r="U520" s="26" t="str">
        <f t="shared" si="83"/>
        <v/>
      </c>
      <c r="V520" s="26"/>
      <c r="W520" s="26" t="str">
        <f t="shared" si="84"/>
        <v/>
      </c>
      <c r="X520" s="26" t="str">
        <f t="shared" si="85"/>
        <v/>
      </c>
      <c r="Y520" s="26" t="str">
        <f t="shared" si="86"/>
        <v/>
      </c>
      <c r="Z520" s="26" t="str">
        <f t="shared" si="87"/>
        <v/>
      </c>
      <c r="AA520" s="26" t="str">
        <f t="shared" si="88"/>
        <v/>
      </c>
      <c r="AB520" s="5" t="str">
        <f t="shared" si="89"/>
        <v/>
      </c>
    </row>
    <row r="521" spans="1:28" ht="12" customHeight="1">
      <c r="A521" s="22">
        <v>529</v>
      </c>
      <c r="B521" s="30"/>
      <c r="C521" s="30"/>
      <c r="D521" s="29"/>
      <c r="E521" s="29"/>
      <c r="F521" s="29"/>
      <c r="G521" s="29"/>
      <c r="H521" s="29"/>
      <c r="I521" s="25" t="str">
        <f t="shared" si="80"/>
        <v/>
      </c>
      <c r="J521" s="29"/>
      <c r="K521" s="25" t="str">
        <f t="shared" si="81"/>
        <v/>
      </c>
      <c r="L521" s="26" t="str">
        <f t="shared" si="82"/>
        <v/>
      </c>
      <c r="M521" s="29"/>
      <c r="N521" s="29"/>
      <c r="O521" s="29"/>
      <c r="P521" s="29"/>
      <c r="Q521" s="29"/>
      <c r="R521" s="29"/>
      <c r="S521" s="29"/>
      <c r="T521" s="29"/>
      <c r="U521" s="26" t="str">
        <f t="shared" si="83"/>
        <v/>
      </c>
      <c r="V521" s="26"/>
      <c r="W521" s="26" t="str">
        <f t="shared" si="84"/>
        <v/>
      </c>
      <c r="X521" s="26" t="str">
        <f t="shared" si="85"/>
        <v/>
      </c>
      <c r="Y521" s="26" t="str">
        <f t="shared" si="86"/>
        <v/>
      </c>
      <c r="Z521" s="26" t="str">
        <f t="shared" si="87"/>
        <v/>
      </c>
      <c r="AA521" s="26" t="str">
        <f t="shared" si="88"/>
        <v/>
      </c>
      <c r="AB521" s="5" t="str">
        <f t="shared" si="89"/>
        <v/>
      </c>
    </row>
    <row r="522" spans="1:28" ht="12" customHeight="1">
      <c r="A522" s="22">
        <v>530</v>
      </c>
      <c r="B522" s="30"/>
      <c r="C522" s="30"/>
      <c r="D522" s="29"/>
      <c r="E522" s="29"/>
      <c r="F522" s="29"/>
      <c r="G522" s="29"/>
      <c r="H522" s="29"/>
      <c r="I522" s="25" t="str">
        <f t="shared" si="80"/>
        <v/>
      </c>
      <c r="J522" s="29"/>
      <c r="K522" s="25" t="str">
        <f t="shared" si="81"/>
        <v/>
      </c>
      <c r="L522" s="26" t="str">
        <f t="shared" si="82"/>
        <v/>
      </c>
      <c r="M522" s="29"/>
      <c r="N522" s="29"/>
      <c r="O522" s="29"/>
      <c r="P522" s="29"/>
      <c r="Q522" s="29"/>
      <c r="R522" s="29"/>
      <c r="S522" s="29"/>
      <c r="T522" s="29"/>
      <c r="U522" s="26" t="str">
        <f t="shared" si="83"/>
        <v/>
      </c>
      <c r="V522" s="26"/>
      <c r="W522" s="26" t="str">
        <f t="shared" si="84"/>
        <v/>
      </c>
      <c r="X522" s="26" t="str">
        <f t="shared" si="85"/>
        <v/>
      </c>
      <c r="Y522" s="26" t="str">
        <f t="shared" si="86"/>
        <v/>
      </c>
      <c r="Z522" s="26" t="str">
        <f t="shared" si="87"/>
        <v/>
      </c>
      <c r="AA522" s="26" t="str">
        <f t="shared" si="88"/>
        <v/>
      </c>
      <c r="AB522" s="5" t="str">
        <f t="shared" si="89"/>
        <v/>
      </c>
    </row>
    <row r="523" spans="1:28" ht="12" customHeight="1">
      <c r="A523" s="22">
        <v>531</v>
      </c>
      <c r="B523" s="30"/>
      <c r="C523" s="30"/>
      <c r="D523" s="29"/>
      <c r="E523" s="29"/>
      <c r="F523" s="29"/>
      <c r="G523" s="29"/>
      <c r="H523" s="29"/>
      <c r="I523" s="25" t="str">
        <f t="shared" si="80"/>
        <v/>
      </c>
      <c r="J523" s="29"/>
      <c r="K523" s="25" t="str">
        <f t="shared" si="81"/>
        <v/>
      </c>
      <c r="L523" s="26" t="str">
        <f t="shared" si="82"/>
        <v/>
      </c>
      <c r="M523" s="29"/>
      <c r="N523" s="29"/>
      <c r="O523" s="29"/>
      <c r="P523" s="29"/>
      <c r="Q523" s="29"/>
      <c r="R523" s="29"/>
      <c r="S523" s="29"/>
      <c r="T523" s="29"/>
      <c r="U523" s="26" t="str">
        <f t="shared" si="83"/>
        <v/>
      </c>
      <c r="V523" s="26"/>
      <c r="W523" s="26" t="str">
        <f t="shared" si="84"/>
        <v/>
      </c>
      <c r="X523" s="26" t="str">
        <f t="shared" si="85"/>
        <v/>
      </c>
      <c r="Y523" s="26" t="str">
        <f t="shared" si="86"/>
        <v/>
      </c>
      <c r="Z523" s="26" t="str">
        <f t="shared" si="87"/>
        <v/>
      </c>
      <c r="AA523" s="26" t="str">
        <f t="shared" si="88"/>
        <v/>
      </c>
      <c r="AB523" s="5" t="str">
        <f t="shared" si="89"/>
        <v/>
      </c>
    </row>
    <row r="524" spans="1:28" ht="12" customHeight="1">
      <c r="A524" s="22">
        <v>532</v>
      </c>
      <c r="B524" s="30"/>
      <c r="C524" s="30"/>
      <c r="D524" s="29"/>
      <c r="E524" s="29"/>
      <c r="F524" s="29"/>
      <c r="G524" s="29"/>
      <c r="H524" s="29"/>
      <c r="I524" s="25" t="str">
        <f t="shared" si="80"/>
        <v/>
      </c>
      <c r="J524" s="29"/>
      <c r="K524" s="25" t="str">
        <f t="shared" si="81"/>
        <v/>
      </c>
      <c r="L524" s="26" t="str">
        <f t="shared" si="82"/>
        <v/>
      </c>
      <c r="M524" s="29"/>
      <c r="N524" s="29"/>
      <c r="O524" s="29"/>
      <c r="P524" s="29"/>
      <c r="Q524" s="29"/>
      <c r="R524" s="29"/>
      <c r="S524" s="29"/>
      <c r="T524" s="29"/>
      <c r="U524" s="26" t="str">
        <f t="shared" si="83"/>
        <v/>
      </c>
      <c r="V524" s="26"/>
      <c r="W524" s="26" t="str">
        <f t="shared" si="84"/>
        <v/>
      </c>
      <c r="X524" s="26" t="str">
        <f t="shared" si="85"/>
        <v/>
      </c>
      <c r="Y524" s="26" t="str">
        <f t="shared" si="86"/>
        <v/>
      </c>
      <c r="Z524" s="26" t="str">
        <f t="shared" si="87"/>
        <v/>
      </c>
      <c r="AA524" s="26" t="str">
        <f t="shared" si="88"/>
        <v/>
      </c>
      <c r="AB524" s="5" t="str">
        <f t="shared" si="89"/>
        <v/>
      </c>
    </row>
    <row r="525" spans="1:28" ht="12" customHeight="1">
      <c r="A525" s="22">
        <v>533</v>
      </c>
      <c r="B525" s="30"/>
      <c r="C525" s="30"/>
      <c r="D525" s="29"/>
      <c r="E525" s="29"/>
      <c r="F525" s="29"/>
      <c r="G525" s="29"/>
      <c r="H525" s="29"/>
      <c r="I525" s="25" t="str">
        <f t="shared" si="80"/>
        <v/>
      </c>
      <c r="J525" s="29"/>
      <c r="K525" s="25" t="str">
        <f t="shared" si="81"/>
        <v/>
      </c>
      <c r="L525" s="26" t="str">
        <f t="shared" si="82"/>
        <v/>
      </c>
      <c r="M525" s="29"/>
      <c r="N525" s="29"/>
      <c r="O525" s="29"/>
      <c r="P525" s="29"/>
      <c r="Q525" s="29"/>
      <c r="R525" s="29"/>
      <c r="S525" s="29"/>
      <c r="T525" s="29"/>
      <c r="U525" s="26" t="str">
        <f t="shared" si="83"/>
        <v/>
      </c>
      <c r="V525" s="26"/>
      <c r="W525" s="26" t="str">
        <f t="shared" si="84"/>
        <v/>
      </c>
      <c r="X525" s="26" t="str">
        <f t="shared" si="85"/>
        <v/>
      </c>
      <c r="Y525" s="26" t="str">
        <f t="shared" si="86"/>
        <v/>
      </c>
      <c r="Z525" s="26" t="str">
        <f t="shared" si="87"/>
        <v/>
      </c>
      <c r="AA525" s="26" t="str">
        <f t="shared" si="88"/>
        <v/>
      </c>
      <c r="AB525" s="5" t="str">
        <f t="shared" si="89"/>
        <v/>
      </c>
    </row>
    <row r="526" spans="1:28" ht="12" customHeight="1">
      <c r="A526" s="22">
        <v>534</v>
      </c>
      <c r="B526" s="30"/>
      <c r="C526" s="30"/>
      <c r="D526" s="29"/>
      <c r="E526" s="29"/>
      <c r="F526" s="29"/>
      <c r="G526" s="29"/>
      <c r="H526" s="29"/>
      <c r="I526" s="25" t="str">
        <f t="shared" si="80"/>
        <v/>
      </c>
      <c r="J526" s="29"/>
      <c r="K526" s="25" t="str">
        <f t="shared" si="81"/>
        <v/>
      </c>
      <c r="L526" s="26" t="str">
        <f t="shared" si="82"/>
        <v/>
      </c>
      <c r="M526" s="29"/>
      <c r="N526" s="29"/>
      <c r="O526" s="29"/>
      <c r="P526" s="29"/>
      <c r="Q526" s="29"/>
      <c r="R526" s="29"/>
      <c r="S526" s="29"/>
      <c r="T526" s="29"/>
      <c r="U526" s="26" t="str">
        <f t="shared" si="83"/>
        <v/>
      </c>
      <c r="V526" s="26"/>
      <c r="W526" s="26" t="str">
        <f t="shared" si="84"/>
        <v/>
      </c>
      <c r="X526" s="26" t="str">
        <f t="shared" si="85"/>
        <v/>
      </c>
      <c r="Y526" s="26" t="str">
        <f t="shared" si="86"/>
        <v/>
      </c>
      <c r="Z526" s="26" t="str">
        <f t="shared" si="87"/>
        <v/>
      </c>
      <c r="AA526" s="26" t="str">
        <f t="shared" si="88"/>
        <v/>
      </c>
      <c r="AB526" s="5" t="str">
        <f t="shared" si="89"/>
        <v/>
      </c>
    </row>
    <row r="527" spans="1:28" ht="12" customHeight="1">
      <c r="A527" s="22">
        <v>535</v>
      </c>
      <c r="B527" s="30"/>
      <c r="C527" s="30"/>
      <c r="D527" s="29"/>
      <c r="E527" s="29"/>
      <c r="F527" s="29"/>
      <c r="G527" s="29"/>
      <c r="H527" s="29"/>
      <c r="I527" s="25" t="str">
        <f t="shared" si="80"/>
        <v/>
      </c>
      <c r="J527" s="29"/>
      <c r="K527" s="25" t="str">
        <f t="shared" si="81"/>
        <v/>
      </c>
      <c r="L527" s="26" t="str">
        <f t="shared" si="82"/>
        <v/>
      </c>
      <c r="M527" s="29"/>
      <c r="N527" s="29"/>
      <c r="O527" s="29"/>
      <c r="P527" s="29"/>
      <c r="Q527" s="29"/>
      <c r="R527" s="29"/>
      <c r="S527" s="29"/>
      <c r="T527" s="29"/>
      <c r="U527" s="26" t="str">
        <f t="shared" si="83"/>
        <v/>
      </c>
      <c r="V527" s="26"/>
      <c r="W527" s="26" t="str">
        <f t="shared" si="84"/>
        <v/>
      </c>
      <c r="X527" s="26" t="str">
        <f t="shared" si="85"/>
        <v/>
      </c>
      <c r="Y527" s="26" t="str">
        <f t="shared" si="86"/>
        <v/>
      </c>
      <c r="Z527" s="26" t="str">
        <f t="shared" si="87"/>
        <v/>
      </c>
      <c r="AA527" s="26" t="str">
        <f t="shared" si="88"/>
        <v/>
      </c>
      <c r="AB527" s="5" t="str">
        <f t="shared" si="89"/>
        <v/>
      </c>
    </row>
    <row r="528" spans="1:28" ht="12" customHeight="1">
      <c r="A528" s="22">
        <v>536</v>
      </c>
      <c r="B528" s="30"/>
      <c r="C528" s="30"/>
      <c r="D528" s="29"/>
      <c r="E528" s="29"/>
      <c r="F528" s="29"/>
      <c r="G528" s="29"/>
      <c r="H528" s="29"/>
      <c r="I528" s="25" t="str">
        <f t="shared" si="80"/>
        <v/>
      </c>
      <c r="J528" s="29"/>
      <c r="K528" s="25" t="str">
        <f t="shared" si="81"/>
        <v/>
      </c>
      <c r="L528" s="26" t="str">
        <f t="shared" si="82"/>
        <v/>
      </c>
      <c r="M528" s="29"/>
      <c r="N528" s="29"/>
      <c r="O528" s="29"/>
      <c r="P528" s="29"/>
      <c r="Q528" s="29"/>
      <c r="R528" s="29"/>
      <c r="S528" s="29"/>
      <c r="T528" s="29"/>
      <c r="U528" s="26" t="str">
        <f t="shared" si="83"/>
        <v/>
      </c>
      <c r="V528" s="26"/>
      <c r="W528" s="26" t="str">
        <f t="shared" si="84"/>
        <v/>
      </c>
      <c r="X528" s="26" t="str">
        <f t="shared" si="85"/>
        <v/>
      </c>
      <c r="Y528" s="26" t="str">
        <f t="shared" si="86"/>
        <v/>
      </c>
      <c r="Z528" s="26" t="str">
        <f t="shared" si="87"/>
        <v/>
      </c>
      <c r="AA528" s="26" t="str">
        <f t="shared" si="88"/>
        <v/>
      </c>
      <c r="AB528" s="5" t="str">
        <f t="shared" si="89"/>
        <v/>
      </c>
    </row>
    <row r="529" spans="1:28" ht="12" customHeight="1">
      <c r="A529" s="22">
        <v>537</v>
      </c>
      <c r="B529" s="30"/>
      <c r="C529" s="30"/>
      <c r="D529" s="29"/>
      <c r="E529" s="29"/>
      <c r="F529" s="29"/>
      <c r="G529" s="29"/>
      <c r="H529" s="29"/>
      <c r="I529" s="25" t="str">
        <f t="shared" si="80"/>
        <v/>
      </c>
      <c r="J529" s="29"/>
      <c r="K529" s="25" t="str">
        <f t="shared" si="81"/>
        <v/>
      </c>
      <c r="L529" s="26" t="str">
        <f t="shared" si="82"/>
        <v/>
      </c>
      <c r="M529" s="29"/>
      <c r="N529" s="29"/>
      <c r="O529" s="29"/>
      <c r="P529" s="29"/>
      <c r="Q529" s="29"/>
      <c r="R529" s="29"/>
      <c r="S529" s="29"/>
      <c r="T529" s="29"/>
      <c r="U529" s="26" t="str">
        <f t="shared" si="83"/>
        <v/>
      </c>
      <c r="V529" s="26"/>
      <c r="W529" s="26" t="str">
        <f t="shared" si="84"/>
        <v/>
      </c>
      <c r="X529" s="26" t="str">
        <f t="shared" si="85"/>
        <v/>
      </c>
      <c r="Y529" s="26" t="str">
        <f t="shared" si="86"/>
        <v/>
      </c>
      <c r="Z529" s="26" t="str">
        <f t="shared" si="87"/>
        <v/>
      </c>
      <c r="AA529" s="26" t="str">
        <f t="shared" si="88"/>
        <v/>
      </c>
      <c r="AB529" s="5" t="str">
        <f t="shared" si="89"/>
        <v/>
      </c>
    </row>
    <row r="530" spans="1:28" ht="12" customHeight="1">
      <c r="A530" s="22">
        <v>538</v>
      </c>
      <c r="B530" s="30"/>
      <c r="C530" s="30"/>
      <c r="D530" s="29"/>
      <c r="E530" s="29"/>
      <c r="F530" s="29"/>
      <c r="G530" s="29"/>
      <c r="H530" s="29"/>
      <c r="I530" s="25" t="str">
        <f t="shared" si="80"/>
        <v/>
      </c>
      <c r="J530" s="29"/>
      <c r="K530" s="25" t="str">
        <f t="shared" si="81"/>
        <v/>
      </c>
      <c r="L530" s="26" t="str">
        <f t="shared" si="82"/>
        <v/>
      </c>
      <c r="M530" s="29"/>
      <c r="N530" s="29"/>
      <c r="O530" s="29"/>
      <c r="P530" s="29"/>
      <c r="Q530" s="29"/>
      <c r="R530" s="29"/>
      <c r="S530" s="29"/>
      <c r="T530" s="29"/>
      <c r="U530" s="26" t="str">
        <f t="shared" si="83"/>
        <v/>
      </c>
      <c r="V530" s="26"/>
      <c r="W530" s="26" t="str">
        <f t="shared" si="84"/>
        <v/>
      </c>
      <c r="X530" s="26" t="str">
        <f t="shared" si="85"/>
        <v/>
      </c>
      <c r="Y530" s="26" t="str">
        <f t="shared" si="86"/>
        <v/>
      </c>
      <c r="Z530" s="26" t="str">
        <f t="shared" si="87"/>
        <v/>
      </c>
      <c r="AA530" s="26" t="str">
        <f t="shared" si="88"/>
        <v/>
      </c>
      <c r="AB530" s="5" t="str">
        <f t="shared" si="89"/>
        <v/>
      </c>
    </row>
    <row r="531" spans="1:28" ht="12" customHeight="1">
      <c r="A531" s="22">
        <v>539</v>
      </c>
      <c r="B531" s="30"/>
      <c r="C531" s="30"/>
      <c r="D531" s="29"/>
      <c r="E531" s="29"/>
      <c r="F531" s="29"/>
      <c r="G531" s="29"/>
      <c r="H531" s="29"/>
      <c r="I531" s="25" t="str">
        <f t="shared" si="80"/>
        <v/>
      </c>
      <c r="J531" s="29"/>
      <c r="K531" s="25" t="str">
        <f t="shared" si="81"/>
        <v/>
      </c>
      <c r="L531" s="26" t="str">
        <f t="shared" si="82"/>
        <v/>
      </c>
      <c r="M531" s="29"/>
      <c r="N531" s="29"/>
      <c r="O531" s="29"/>
      <c r="P531" s="29"/>
      <c r="Q531" s="29"/>
      <c r="R531" s="29"/>
      <c r="S531" s="29"/>
      <c r="T531" s="29"/>
      <c r="U531" s="26" t="str">
        <f t="shared" si="83"/>
        <v/>
      </c>
      <c r="V531" s="26"/>
      <c r="W531" s="26" t="str">
        <f t="shared" si="84"/>
        <v/>
      </c>
      <c r="X531" s="26" t="str">
        <f t="shared" si="85"/>
        <v/>
      </c>
      <c r="Y531" s="26" t="str">
        <f t="shared" si="86"/>
        <v/>
      </c>
      <c r="Z531" s="26" t="str">
        <f t="shared" si="87"/>
        <v/>
      </c>
      <c r="AA531" s="26" t="str">
        <f t="shared" si="88"/>
        <v/>
      </c>
      <c r="AB531" s="5" t="str">
        <f t="shared" si="89"/>
        <v/>
      </c>
    </row>
    <row r="532" spans="1:28" ht="12" customHeight="1">
      <c r="A532" s="22">
        <v>540</v>
      </c>
      <c r="B532" s="30"/>
      <c r="C532" s="30"/>
      <c r="D532" s="29"/>
      <c r="E532" s="29"/>
      <c r="F532" s="29"/>
      <c r="G532" s="29"/>
      <c r="H532" s="29"/>
      <c r="I532" s="25" t="str">
        <f t="shared" si="80"/>
        <v/>
      </c>
      <c r="J532" s="29"/>
      <c r="K532" s="25" t="str">
        <f t="shared" si="81"/>
        <v/>
      </c>
      <c r="L532" s="26" t="str">
        <f t="shared" si="82"/>
        <v/>
      </c>
      <c r="M532" s="29"/>
      <c r="N532" s="29"/>
      <c r="O532" s="29"/>
      <c r="P532" s="29"/>
      <c r="Q532" s="29"/>
      <c r="R532" s="29"/>
      <c r="S532" s="29"/>
      <c r="T532" s="29"/>
      <c r="U532" s="26" t="str">
        <f t="shared" si="83"/>
        <v/>
      </c>
      <c r="V532" s="26"/>
      <c r="W532" s="26" t="str">
        <f t="shared" si="84"/>
        <v/>
      </c>
      <c r="X532" s="26" t="str">
        <f t="shared" si="85"/>
        <v/>
      </c>
      <c r="Y532" s="26" t="str">
        <f t="shared" si="86"/>
        <v/>
      </c>
      <c r="Z532" s="26" t="str">
        <f t="shared" si="87"/>
        <v/>
      </c>
      <c r="AA532" s="26" t="str">
        <f t="shared" si="88"/>
        <v/>
      </c>
      <c r="AB532" s="5" t="str">
        <f t="shared" si="89"/>
        <v/>
      </c>
    </row>
    <row r="533" spans="1:28" ht="12" customHeight="1">
      <c r="A533" s="22">
        <v>541</v>
      </c>
      <c r="B533" s="30"/>
      <c r="C533" s="30"/>
      <c r="D533" s="29"/>
      <c r="E533" s="29"/>
      <c r="F533" s="29"/>
      <c r="G533" s="29"/>
      <c r="H533" s="29"/>
      <c r="I533" s="25" t="str">
        <f t="shared" si="80"/>
        <v/>
      </c>
      <c r="J533" s="29"/>
      <c r="K533" s="25" t="str">
        <f t="shared" si="81"/>
        <v/>
      </c>
      <c r="L533" s="26" t="str">
        <f t="shared" si="82"/>
        <v/>
      </c>
      <c r="M533" s="29"/>
      <c r="N533" s="29"/>
      <c r="O533" s="29"/>
      <c r="P533" s="29"/>
      <c r="Q533" s="29"/>
      <c r="R533" s="29"/>
      <c r="S533" s="29"/>
      <c r="T533" s="29"/>
      <c r="U533" s="26" t="str">
        <f t="shared" si="83"/>
        <v/>
      </c>
      <c r="V533" s="26"/>
      <c r="W533" s="26" t="str">
        <f t="shared" si="84"/>
        <v/>
      </c>
      <c r="X533" s="26" t="str">
        <f t="shared" si="85"/>
        <v/>
      </c>
      <c r="Y533" s="26" t="str">
        <f t="shared" si="86"/>
        <v/>
      </c>
      <c r="Z533" s="26" t="str">
        <f t="shared" si="87"/>
        <v/>
      </c>
      <c r="AA533" s="26" t="str">
        <f t="shared" si="88"/>
        <v/>
      </c>
      <c r="AB533" s="5" t="str">
        <f t="shared" si="89"/>
        <v/>
      </c>
    </row>
    <row r="534" spans="1:28" ht="12" customHeight="1">
      <c r="A534" s="22">
        <v>542</v>
      </c>
      <c r="B534" s="30"/>
      <c r="C534" s="30"/>
      <c r="D534" s="29"/>
      <c r="E534" s="29"/>
      <c r="F534" s="29"/>
      <c r="G534" s="29"/>
      <c r="H534" s="29"/>
      <c r="I534" s="25" t="str">
        <f t="shared" si="80"/>
        <v/>
      </c>
      <c r="J534" s="29"/>
      <c r="K534" s="25" t="str">
        <f t="shared" si="81"/>
        <v/>
      </c>
      <c r="L534" s="26" t="str">
        <f t="shared" si="82"/>
        <v/>
      </c>
      <c r="M534" s="29"/>
      <c r="N534" s="29"/>
      <c r="O534" s="29"/>
      <c r="P534" s="29"/>
      <c r="Q534" s="29"/>
      <c r="R534" s="29"/>
      <c r="S534" s="29"/>
      <c r="T534" s="29"/>
      <c r="U534" s="26" t="str">
        <f t="shared" si="83"/>
        <v/>
      </c>
      <c r="V534" s="26"/>
      <c r="W534" s="26" t="str">
        <f t="shared" si="84"/>
        <v/>
      </c>
      <c r="X534" s="26" t="str">
        <f t="shared" si="85"/>
        <v/>
      </c>
      <c r="Y534" s="26" t="str">
        <f t="shared" si="86"/>
        <v/>
      </c>
      <c r="Z534" s="26" t="str">
        <f t="shared" si="87"/>
        <v/>
      </c>
      <c r="AA534" s="26" t="str">
        <f t="shared" si="88"/>
        <v/>
      </c>
      <c r="AB534" s="5" t="str">
        <f t="shared" si="89"/>
        <v/>
      </c>
    </row>
    <row r="535" spans="1:28" ht="12" customHeight="1">
      <c r="A535" s="22">
        <v>543</v>
      </c>
      <c r="B535" s="30"/>
      <c r="C535" s="30"/>
      <c r="D535" s="29"/>
      <c r="E535" s="29"/>
      <c r="F535" s="29"/>
      <c r="G535" s="29"/>
      <c r="H535" s="29"/>
      <c r="I535" s="25" t="str">
        <f t="shared" si="80"/>
        <v/>
      </c>
      <c r="J535" s="29"/>
      <c r="K535" s="25" t="str">
        <f t="shared" si="81"/>
        <v/>
      </c>
      <c r="L535" s="26" t="str">
        <f t="shared" si="82"/>
        <v/>
      </c>
      <c r="M535" s="29"/>
      <c r="N535" s="29"/>
      <c r="O535" s="29"/>
      <c r="P535" s="29"/>
      <c r="Q535" s="29"/>
      <c r="R535" s="29"/>
      <c r="S535" s="29"/>
      <c r="T535" s="29"/>
      <c r="U535" s="26" t="str">
        <f t="shared" si="83"/>
        <v/>
      </c>
      <c r="V535" s="26"/>
      <c r="W535" s="26" t="str">
        <f t="shared" si="84"/>
        <v/>
      </c>
      <c r="X535" s="26" t="str">
        <f t="shared" si="85"/>
        <v/>
      </c>
      <c r="Y535" s="26" t="str">
        <f t="shared" si="86"/>
        <v/>
      </c>
      <c r="Z535" s="26" t="str">
        <f t="shared" si="87"/>
        <v/>
      </c>
      <c r="AA535" s="26" t="str">
        <f t="shared" si="88"/>
        <v/>
      </c>
      <c r="AB535" s="5" t="str">
        <f t="shared" si="89"/>
        <v/>
      </c>
    </row>
    <row r="536" spans="1:28" ht="12" customHeight="1">
      <c r="A536" s="22">
        <v>544</v>
      </c>
      <c r="B536" s="30"/>
      <c r="C536" s="30"/>
      <c r="D536" s="29"/>
      <c r="E536" s="29"/>
      <c r="F536" s="29"/>
      <c r="G536" s="29"/>
      <c r="H536" s="29"/>
      <c r="I536" s="25" t="str">
        <f t="shared" si="80"/>
        <v/>
      </c>
      <c r="J536" s="29"/>
      <c r="K536" s="25" t="str">
        <f t="shared" si="81"/>
        <v/>
      </c>
      <c r="L536" s="26" t="str">
        <f t="shared" si="82"/>
        <v/>
      </c>
      <c r="M536" s="29"/>
      <c r="N536" s="29"/>
      <c r="O536" s="29"/>
      <c r="P536" s="29"/>
      <c r="Q536" s="29"/>
      <c r="R536" s="29"/>
      <c r="S536" s="29"/>
      <c r="T536" s="29"/>
      <c r="U536" s="26" t="str">
        <f t="shared" si="83"/>
        <v/>
      </c>
      <c r="V536" s="26"/>
      <c r="W536" s="26" t="str">
        <f t="shared" si="84"/>
        <v/>
      </c>
      <c r="X536" s="26" t="str">
        <f t="shared" si="85"/>
        <v/>
      </c>
      <c r="Y536" s="26" t="str">
        <f t="shared" si="86"/>
        <v/>
      </c>
      <c r="Z536" s="26" t="str">
        <f t="shared" si="87"/>
        <v/>
      </c>
      <c r="AA536" s="26" t="str">
        <f t="shared" si="88"/>
        <v/>
      </c>
      <c r="AB536" s="5" t="str">
        <f t="shared" si="89"/>
        <v/>
      </c>
    </row>
    <row r="537" spans="1:28" ht="12" customHeight="1">
      <c r="A537" s="22">
        <v>545</v>
      </c>
      <c r="B537" s="30"/>
      <c r="C537" s="30"/>
      <c r="D537" s="29"/>
      <c r="E537" s="29"/>
      <c r="F537" s="29"/>
      <c r="G537" s="29"/>
      <c r="H537" s="29"/>
      <c r="I537" s="25" t="str">
        <f t="shared" si="80"/>
        <v/>
      </c>
      <c r="J537" s="29"/>
      <c r="K537" s="25" t="str">
        <f t="shared" si="81"/>
        <v/>
      </c>
      <c r="L537" s="26" t="str">
        <f t="shared" si="82"/>
        <v/>
      </c>
      <c r="M537" s="29"/>
      <c r="N537" s="29"/>
      <c r="O537" s="29"/>
      <c r="P537" s="29"/>
      <c r="Q537" s="29"/>
      <c r="R537" s="29"/>
      <c r="S537" s="29"/>
      <c r="T537" s="29"/>
      <c r="U537" s="26" t="str">
        <f t="shared" si="83"/>
        <v/>
      </c>
      <c r="V537" s="26"/>
      <c r="W537" s="26" t="str">
        <f t="shared" si="84"/>
        <v/>
      </c>
      <c r="X537" s="26" t="str">
        <f t="shared" si="85"/>
        <v/>
      </c>
      <c r="Y537" s="26" t="str">
        <f t="shared" si="86"/>
        <v/>
      </c>
      <c r="Z537" s="26" t="str">
        <f t="shared" si="87"/>
        <v/>
      </c>
      <c r="AA537" s="26" t="str">
        <f t="shared" si="88"/>
        <v/>
      </c>
      <c r="AB537" s="5" t="str">
        <f t="shared" si="89"/>
        <v/>
      </c>
    </row>
    <row r="538" spans="1:28" ht="12" customHeight="1">
      <c r="A538" s="22">
        <v>546</v>
      </c>
      <c r="B538" s="30"/>
      <c r="C538" s="30"/>
      <c r="D538" s="29"/>
      <c r="E538" s="29"/>
      <c r="F538" s="29"/>
      <c r="G538" s="29"/>
      <c r="H538" s="29"/>
      <c r="I538" s="25" t="str">
        <f t="shared" si="80"/>
        <v/>
      </c>
      <c r="J538" s="29"/>
      <c r="K538" s="25" t="str">
        <f t="shared" si="81"/>
        <v/>
      </c>
      <c r="L538" s="26" t="str">
        <f t="shared" si="82"/>
        <v/>
      </c>
      <c r="M538" s="29"/>
      <c r="N538" s="29"/>
      <c r="O538" s="29"/>
      <c r="P538" s="29"/>
      <c r="Q538" s="29"/>
      <c r="R538" s="29"/>
      <c r="S538" s="29"/>
      <c r="T538" s="29"/>
      <c r="U538" s="26" t="str">
        <f t="shared" si="83"/>
        <v/>
      </c>
      <c r="V538" s="26"/>
      <c r="W538" s="26" t="str">
        <f t="shared" si="84"/>
        <v/>
      </c>
      <c r="X538" s="26" t="str">
        <f t="shared" si="85"/>
        <v/>
      </c>
      <c r="Y538" s="26" t="str">
        <f t="shared" si="86"/>
        <v/>
      </c>
      <c r="Z538" s="26" t="str">
        <f t="shared" si="87"/>
        <v/>
      </c>
      <c r="AA538" s="26" t="str">
        <f t="shared" si="88"/>
        <v/>
      </c>
      <c r="AB538" s="5" t="str">
        <f t="shared" si="89"/>
        <v/>
      </c>
    </row>
    <row r="539" spans="1:28" ht="12" customHeight="1">
      <c r="A539" s="22">
        <v>547</v>
      </c>
      <c r="B539" s="30"/>
      <c r="C539" s="30"/>
      <c r="D539" s="29"/>
      <c r="E539" s="29"/>
      <c r="F539" s="29"/>
      <c r="G539" s="29"/>
      <c r="H539" s="29"/>
      <c r="I539" s="25" t="str">
        <f t="shared" si="80"/>
        <v/>
      </c>
      <c r="J539" s="29"/>
      <c r="K539" s="25" t="str">
        <f t="shared" si="81"/>
        <v/>
      </c>
      <c r="L539" s="26" t="str">
        <f t="shared" si="82"/>
        <v/>
      </c>
      <c r="M539" s="29"/>
      <c r="N539" s="29"/>
      <c r="O539" s="29"/>
      <c r="P539" s="29"/>
      <c r="Q539" s="29"/>
      <c r="R539" s="29"/>
      <c r="S539" s="29"/>
      <c r="T539" s="29"/>
      <c r="U539" s="26" t="str">
        <f t="shared" si="83"/>
        <v/>
      </c>
      <c r="V539" s="26"/>
      <c r="W539" s="26" t="str">
        <f t="shared" si="84"/>
        <v/>
      </c>
      <c r="X539" s="26" t="str">
        <f t="shared" si="85"/>
        <v/>
      </c>
      <c r="Y539" s="26" t="str">
        <f t="shared" si="86"/>
        <v/>
      </c>
      <c r="Z539" s="26" t="str">
        <f t="shared" si="87"/>
        <v/>
      </c>
      <c r="AA539" s="26" t="str">
        <f t="shared" si="88"/>
        <v/>
      </c>
      <c r="AB539" s="5" t="str">
        <f t="shared" si="89"/>
        <v/>
      </c>
    </row>
    <row r="540" spans="1:28" ht="12" customHeight="1">
      <c r="A540" s="22">
        <v>548</v>
      </c>
      <c r="B540" s="30"/>
      <c r="C540" s="30"/>
      <c r="D540" s="29"/>
      <c r="E540" s="29"/>
      <c r="F540" s="29"/>
      <c r="G540" s="29"/>
      <c r="H540" s="29"/>
      <c r="I540" s="25" t="str">
        <f t="shared" si="80"/>
        <v/>
      </c>
      <c r="J540" s="29"/>
      <c r="K540" s="25" t="str">
        <f t="shared" si="81"/>
        <v/>
      </c>
      <c r="L540" s="26" t="str">
        <f t="shared" si="82"/>
        <v/>
      </c>
      <c r="M540" s="29"/>
      <c r="N540" s="29"/>
      <c r="O540" s="29"/>
      <c r="P540" s="29"/>
      <c r="Q540" s="29"/>
      <c r="R540" s="29"/>
      <c r="S540" s="29"/>
      <c r="T540" s="29"/>
      <c r="U540" s="26" t="str">
        <f t="shared" si="83"/>
        <v/>
      </c>
      <c r="V540" s="26"/>
      <c r="W540" s="26" t="str">
        <f t="shared" si="84"/>
        <v/>
      </c>
      <c r="X540" s="26" t="str">
        <f t="shared" si="85"/>
        <v/>
      </c>
      <c r="Y540" s="26" t="str">
        <f t="shared" si="86"/>
        <v/>
      </c>
      <c r="Z540" s="26" t="str">
        <f t="shared" si="87"/>
        <v/>
      </c>
      <c r="AA540" s="26" t="str">
        <f t="shared" si="88"/>
        <v/>
      </c>
      <c r="AB540" s="5" t="str">
        <f t="shared" si="89"/>
        <v/>
      </c>
    </row>
    <row r="541" spans="1:28" ht="12" customHeight="1">
      <c r="A541" s="22">
        <v>549</v>
      </c>
      <c r="B541" s="30"/>
      <c r="C541" s="30"/>
      <c r="D541" s="29"/>
      <c r="E541" s="29"/>
      <c r="F541" s="29"/>
      <c r="G541" s="29"/>
      <c r="H541" s="29"/>
      <c r="I541" s="25" t="str">
        <f t="shared" si="80"/>
        <v/>
      </c>
      <c r="J541" s="29"/>
      <c r="K541" s="25" t="str">
        <f t="shared" si="81"/>
        <v/>
      </c>
      <c r="L541" s="26" t="str">
        <f t="shared" si="82"/>
        <v/>
      </c>
      <c r="M541" s="29"/>
      <c r="N541" s="29"/>
      <c r="O541" s="29"/>
      <c r="P541" s="29"/>
      <c r="Q541" s="29"/>
      <c r="R541" s="29"/>
      <c r="S541" s="29"/>
      <c r="T541" s="29"/>
      <c r="U541" s="26" t="str">
        <f t="shared" si="83"/>
        <v/>
      </c>
      <c r="V541" s="26"/>
      <c r="W541" s="26" t="str">
        <f t="shared" si="84"/>
        <v/>
      </c>
      <c r="X541" s="26" t="str">
        <f t="shared" si="85"/>
        <v/>
      </c>
      <c r="Y541" s="26" t="str">
        <f t="shared" si="86"/>
        <v/>
      </c>
      <c r="Z541" s="26" t="str">
        <f t="shared" si="87"/>
        <v/>
      </c>
      <c r="AA541" s="26" t="str">
        <f t="shared" si="88"/>
        <v/>
      </c>
      <c r="AB541" s="5" t="str">
        <f t="shared" si="89"/>
        <v/>
      </c>
    </row>
    <row r="542" spans="1:28" ht="12" customHeight="1">
      <c r="A542" s="22">
        <v>550</v>
      </c>
      <c r="B542" s="30"/>
      <c r="C542" s="30"/>
      <c r="D542" s="29"/>
      <c r="E542" s="29"/>
      <c r="F542" s="29"/>
      <c r="G542" s="29"/>
      <c r="H542" s="29"/>
      <c r="I542" s="25" t="str">
        <f t="shared" si="80"/>
        <v/>
      </c>
      <c r="J542" s="29"/>
      <c r="K542" s="25" t="str">
        <f t="shared" si="81"/>
        <v/>
      </c>
      <c r="L542" s="26" t="str">
        <f t="shared" si="82"/>
        <v/>
      </c>
      <c r="M542" s="29"/>
      <c r="N542" s="29"/>
      <c r="O542" s="29"/>
      <c r="P542" s="29"/>
      <c r="Q542" s="29"/>
      <c r="R542" s="29"/>
      <c r="S542" s="29"/>
      <c r="T542" s="29"/>
      <c r="U542" s="26" t="str">
        <f t="shared" si="83"/>
        <v/>
      </c>
      <c r="V542" s="26"/>
      <c r="W542" s="26" t="str">
        <f t="shared" si="84"/>
        <v/>
      </c>
      <c r="X542" s="26" t="str">
        <f t="shared" si="85"/>
        <v/>
      </c>
      <c r="Y542" s="26" t="str">
        <f t="shared" si="86"/>
        <v/>
      </c>
      <c r="Z542" s="26" t="str">
        <f t="shared" si="87"/>
        <v/>
      </c>
      <c r="AA542" s="26" t="str">
        <f t="shared" si="88"/>
        <v/>
      </c>
      <c r="AB542" s="5" t="str">
        <f t="shared" si="89"/>
        <v/>
      </c>
    </row>
    <row r="543" spans="1:28" ht="12" customHeight="1">
      <c r="A543" s="22">
        <v>551</v>
      </c>
      <c r="B543" s="30"/>
      <c r="C543" s="30"/>
      <c r="D543" s="29"/>
      <c r="E543" s="29"/>
      <c r="F543" s="29"/>
      <c r="G543" s="29"/>
      <c r="H543" s="29"/>
      <c r="I543" s="25" t="str">
        <f t="shared" si="80"/>
        <v/>
      </c>
      <c r="J543" s="29"/>
      <c r="K543" s="25" t="str">
        <f t="shared" si="81"/>
        <v/>
      </c>
      <c r="L543" s="26" t="str">
        <f t="shared" si="82"/>
        <v/>
      </c>
      <c r="M543" s="29"/>
      <c r="N543" s="29"/>
      <c r="O543" s="29"/>
      <c r="P543" s="29"/>
      <c r="Q543" s="29"/>
      <c r="R543" s="29"/>
      <c r="S543" s="29"/>
      <c r="T543" s="29"/>
      <c r="U543" s="26" t="str">
        <f t="shared" si="83"/>
        <v/>
      </c>
      <c r="V543" s="26"/>
      <c r="W543" s="26" t="str">
        <f t="shared" si="84"/>
        <v/>
      </c>
      <c r="X543" s="26" t="str">
        <f t="shared" si="85"/>
        <v/>
      </c>
      <c r="Y543" s="26" t="str">
        <f t="shared" si="86"/>
        <v/>
      </c>
      <c r="Z543" s="26" t="str">
        <f t="shared" si="87"/>
        <v/>
      </c>
      <c r="AA543" s="26" t="str">
        <f t="shared" si="88"/>
        <v/>
      </c>
      <c r="AB543" s="5" t="str">
        <f t="shared" si="89"/>
        <v/>
      </c>
    </row>
    <row r="544" spans="1:28" ht="12" customHeight="1">
      <c r="A544" s="22">
        <v>552</v>
      </c>
      <c r="B544" s="30"/>
      <c r="C544" s="30"/>
      <c r="D544" s="29"/>
      <c r="E544" s="29"/>
      <c r="F544" s="29"/>
      <c r="G544" s="29"/>
      <c r="H544" s="29"/>
      <c r="I544" s="25" t="str">
        <f t="shared" si="80"/>
        <v/>
      </c>
      <c r="J544" s="29"/>
      <c r="K544" s="25" t="str">
        <f t="shared" si="81"/>
        <v/>
      </c>
      <c r="L544" s="26" t="str">
        <f t="shared" si="82"/>
        <v/>
      </c>
      <c r="M544" s="29"/>
      <c r="N544" s="29"/>
      <c r="O544" s="29"/>
      <c r="P544" s="29"/>
      <c r="Q544" s="29"/>
      <c r="R544" s="29"/>
      <c r="S544" s="29"/>
      <c r="T544" s="29"/>
      <c r="U544" s="26" t="str">
        <f t="shared" si="83"/>
        <v/>
      </c>
      <c r="V544" s="26"/>
      <c r="W544" s="26" t="str">
        <f t="shared" si="84"/>
        <v/>
      </c>
      <c r="X544" s="26" t="str">
        <f t="shared" si="85"/>
        <v/>
      </c>
      <c r="Y544" s="26" t="str">
        <f t="shared" si="86"/>
        <v/>
      </c>
      <c r="Z544" s="26" t="str">
        <f t="shared" si="87"/>
        <v/>
      </c>
      <c r="AA544" s="26" t="str">
        <f t="shared" si="88"/>
        <v/>
      </c>
      <c r="AB544" s="5" t="str">
        <f t="shared" si="89"/>
        <v/>
      </c>
    </row>
    <row r="545" spans="1:28" ht="12" customHeight="1">
      <c r="A545" s="22">
        <v>553</v>
      </c>
      <c r="B545" s="30"/>
      <c r="C545" s="30"/>
      <c r="D545" s="29"/>
      <c r="E545" s="29"/>
      <c r="F545" s="29"/>
      <c r="G545" s="29"/>
      <c r="H545" s="29"/>
      <c r="I545" s="25" t="str">
        <f t="shared" si="80"/>
        <v/>
      </c>
      <c r="J545" s="29"/>
      <c r="K545" s="25" t="str">
        <f t="shared" si="81"/>
        <v/>
      </c>
      <c r="L545" s="26" t="str">
        <f t="shared" si="82"/>
        <v/>
      </c>
      <c r="M545" s="29"/>
      <c r="N545" s="29"/>
      <c r="O545" s="29"/>
      <c r="P545" s="29"/>
      <c r="Q545" s="29"/>
      <c r="R545" s="29"/>
      <c r="S545" s="29"/>
      <c r="T545" s="29"/>
      <c r="U545" s="26" t="str">
        <f t="shared" si="83"/>
        <v/>
      </c>
      <c r="V545" s="26"/>
      <c r="W545" s="26" t="str">
        <f t="shared" si="84"/>
        <v/>
      </c>
      <c r="X545" s="26" t="str">
        <f t="shared" si="85"/>
        <v/>
      </c>
      <c r="Y545" s="26" t="str">
        <f t="shared" si="86"/>
        <v/>
      </c>
      <c r="Z545" s="26" t="str">
        <f t="shared" si="87"/>
        <v/>
      </c>
      <c r="AA545" s="26" t="str">
        <f t="shared" si="88"/>
        <v/>
      </c>
      <c r="AB545" s="5" t="str">
        <f t="shared" si="89"/>
        <v/>
      </c>
    </row>
    <row r="546" spans="1:28" ht="12" customHeight="1">
      <c r="A546" s="22">
        <v>554</v>
      </c>
      <c r="B546" s="30"/>
      <c r="C546" s="30"/>
      <c r="D546" s="29"/>
      <c r="E546" s="29"/>
      <c r="F546" s="29"/>
      <c r="G546" s="29"/>
      <c r="H546" s="29"/>
      <c r="I546" s="25" t="str">
        <f t="shared" si="80"/>
        <v/>
      </c>
      <c r="J546" s="29"/>
      <c r="K546" s="25" t="str">
        <f t="shared" si="81"/>
        <v/>
      </c>
      <c r="L546" s="26" t="str">
        <f t="shared" si="82"/>
        <v/>
      </c>
      <c r="M546" s="29"/>
      <c r="N546" s="29"/>
      <c r="O546" s="29"/>
      <c r="P546" s="29"/>
      <c r="Q546" s="29"/>
      <c r="R546" s="29"/>
      <c r="S546" s="29"/>
      <c r="T546" s="29"/>
      <c r="U546" s="26" t="str">
        <f t="shared" si="83"/>
        <v/>
      </c>
      <c r="V546" s="26"/>
      <c r="W546" s="26" t="str">
        <f t="shared" si="84"/>
        <v/>
      </c>
      <c r="X546" s="26" t="str">
        <f t="shared" si="85"/>
        <v/>
      </c>
      <c r="Y546" s="26" t="str">
        <f t="shared" si="86"/>
        <v/>
      </c>
      <c r="Z546" s="26" t="str">
        <f t="shared" si="87"/>
        <v/>
      </c>
      <c r="AA546" s="26" t="str">
        <f t="shared" si="88"/>
        <v/>
      </c>
      <c r="AB546" s="5" t="str">
        <f t="shared" si="89"/>
        <v/>
      </c>
    </row>
    <row r="547" spans="1:28" ht="12" customHeight="1">
      <c r="A547" s="22">
        <v>555</v>
      </c>
      <c r="B547" s="30"/>
      <c r="C547" s="30"/>
      <c r="D547" s="29"/>
      <c r="E547" s="29"/>
      <c r="F547" s="29"/>
      <c r="G547" s="29"/>
      <c r="H547" s="29"/>
      <c r="I547" s="25" t="str">
        <f t="shared" si="80"/>
        <v/>
      </c>
      <c r="J547" s="29"/>
      <c r="K547" s="25" t="str">
        <f t="shared" si="81"/>
        <v/>
      </c>
      <c r="L547" s="26" t="str">
        <f t="shared" si="82"/>
        <v/>
      </c>
      <c r="M547" s="29"/>
      <c r="N547" s="29"/>
      <c r="O547" s="29"/>
      <c r="P547" s="29"/>
      <c r="Q547" s="29"/>
      <c r="R547" s="29"/>
      <c r="S547" s="29"/>
      <c r="T547" s="29"/>
      <c r="U547" s="26" t="str">
        <f t="shared" si="83"/>
        <v/>
      </c>
      <c r="V547" s="26"/>
      <c r="W547" s="26" t="str">
        <f t="shared" si="84"/>
        <v/>
      </c>
      <c r="X547" s="26" t="str">
        <f t="shared" si="85"/>
        <v/>
      </c>
      <c r="Y547" s="26" t="str">
        <f t="shared" si="86"/>
        <v/>
      </c>
      <c r="Z547" s="26" t="str">
        <f t="shared" si="87"/>
        <v/>
      </c>
      <c r="AA547" s="26" t="str">
        <f t="shared" si="88"/>
        <v/>
      </c>
      <c r="AB547" s="5" t="str">
        <f t="shared" si="89"/>
        <v/>
      </c>
    </row>
    <row r="548" spans="1:28" ht="12" customHeight="1">
      <c r="A548" s="22">
        <v>556</v>
      </c>
      <c r="B548" s="30"/>
      <c r="C548" s="30"/>
      <c r="D548" s="29"/>
      <c r="E548" s="29"/>
      <c r="F548" s="29"/>
      <c r="G548" s="29"/>
      <c r="H548" s="29"/>
      <c r="I548" s="25" t="str">
        <f t="shared" si="80"/>
        <v/>
      </c>
      <c r="J548" s="29"/>
      <c r="K548" s="25" t="str">
        <f t="shared" si="81"/>
        <v/>
      </c>
      <c r="L548" s="26" t="str">
        <f t="shared" si="82"/>
        <v/>
      </c>
      <c r="M548" s="29"/>
      <c r="N548" s="29"/>
      <c r="O548" s="29"/>
      <c r="P548" s="29"/>
      <c r="Q548" s="29"/>
      <c r="R548" s="29"/>
      <c r="S548" s="29"/>
      <c r="T548" s="29"/>
      <c r="U548" s="26" t="str">
        <f t="shared" si="83"/>
        <v/>
      </c>
      <c r="V548" s="26"/>
      <c r="W548" s="26" t="str">
        <f t="shared" si="84"/>
        <v/>
      </c>
      <c r="X548" s="26" t="str">
        <f t="shared" si="85"/>
        <v/>
      </c>
      <c r="Y548" s="26" t="str">
        <f t="shared" si="86"/>
        <v/>
      </c>
      <c r="Z548" s="26" t="str">
        <f t="shared" si="87"/>
        <v/>
      </c>
      <c r="AA548" s="26" t="str">
        <f t="shared" si="88"/>
        <v/>
      </c>
      <c r="AB548" s="5" t="str">
        <f t="shared" si="89"/>
        <v/>
      </c>
    </row>
    <row r="549" spans="1:28" ht="12" customHeight="1">
      <c r="A549" s="22">
        <v>557</v>
      </c>
      <c r="B549" s="30"/>
      <c r="C549" s="30"/>
      <c r="D549" s="29"/>
      <c r="E549" s="29"/>
      <c r="F549" s="29"/>
      <c r="G549" s="29"/>
      <c r="H549" s="29"/>
      <c r="I549" s="25" t="str">
        <f t="shared" si="80"/>
        <v/>
      </c>
      <c r="J549" s="29"/>
      <c r="K549" s="25" t="str">
        <f t="shared" si="81"/>
        <v/>
      </c>
      <c r="L549" s="26" t="str">
        <f t="shared" si="82"/>
        <v/>
      </c>
      <c r="M549" s="29"/>
      <c r="N549" s="29"/>
      <c r="O549" s="29"/>
      <c r="P549" s="29"/>
      <c r="Q549" s="29"/>
      <c r="R549" s="29"/>
      <c r="S549" s="29"/>
      <c r="T549" s="29"/>
      <c r="U549" s="26" t="str">
        <f t="shared" si="83"/>
        <v/>
      </c>
      <c r="V549" s="26"/>
      <c r="W549" s="26" t="str">
        <f t="shared" si="84"/>
        <v/>
      </c>
      <c r="X549" s="26" t="str">
        <f t="shared" si="85"/>
        <v/>
      </c>
      <c r="Y549" s="26" t="str">
        <f t="shared" si="86"/>
        <v/>
      </c>
      <c r="Z549" s="26" t="str">
        <f t="shared" si="87"/>
        <v/>
      </c>
      <c r="AA549" s="26" t="str">
        <f t="shared" si="88"/>
        <v/>
      </c>
      <c r="AB549" s="5" t="str">
        <f t="shared" si="89"/>
        <v/>
      </c>
    </row>
    <row r="550" spans="1:28" ht="12" customHeight="1">
      <c r="A550" s="22">
        <v>558</v>
      </c>
      <c r="B550" s="30"/>
      <c r="C550" s="30"/>
      <c r="D550" s="29"/>
      <c r="E550" s="29"/>
      <c r="F550" s="29"/>
      <c r="G550" s="29"/>
      <c r="H550" s="29"/>
      <c r="I550" s="25" t="str">
        <f t="shared" si="80"/>
        <v/>
      </c>
      <c r="J550" s="29"/>
      <c r="K550" s="25" t="str">
        <f t="shared" si="81"/>
        <v/>
      </c>
      <c r="L550" s="26" t="str">
        <f t="shared" si="82"/>
        <v/>
      </c>
      <c r="M550" s="29"/>
      <c r="N550" s="29"/>
      <c r="O550" s="29"/>
      <c r="P550" s="29"/>
      <c r="Q550" s="29"/>
      <c r="R550" s="29"/>
      <c r="S550" s="29"/>
      <c r="T550" s="29"/>
      <c r="U550" s="26" t="str">
        <f t="shared" si="83"/>
        <v/>
      </c>
      <c r="V550" s="26"/>
      <c r="W550" s="26" t="str">
        <f t="shared" si="84"/>
        <v/>
      </c>
      <c r="X550" s="26" t="str">
        <f t="shared" si="85"/>
        <v/>
      </c>
      <c r="Y550" s="26" t="str">
        <f t="shared" si="86"/>
        <v/>
      </c>
      <c r="Z550" s="26" t="str">
        <f t="shared" si="87"/>
        <v/>
      </c>
      <c r="AA550" s="26" t="str">
        <f t="shared" si="88"/>
        <v/>
      </c>
      <c r="AB550" s="5" t="str">
        <f t="shared" si="89"/>
        <v/>
      </c>
    </row>
    <row r="551" spans="1:28" ht="12" customHeight="1">
      <c r="A551" s="22">
        <v>559</v>
      </c>
      <c r="B551" s="30"/>
      <c r="C551" s="30"/>
      <c r="D551" s="29"/>
      <c r="E551" s="29"/>
      <c r="F551" s="29"/>
      <c r="G551" s="29"/>
      <c r="H551" s="29"/>
      <c r="I551" s="25" t="str">
        <f t="shared" si="80"/>
        <v/>
      </c>
      <c r="J551" s="29"/>
      <c r="K551" s="25" t="str">
        <f t="shared" si="81"/>
        <v/>
      </c>
      <c r="L551" s="26" t="str">
        <f t="shared" si="82"/>
        <v/>
      </c>
      <c r="M551" s="29"/>
      <c r="N551" s="29"/>
      <c r="O551" s="29"/>
      <c r="P551" s="29"/>
      <c r="Q551" s="29"/>
      <c r="R551" s="29"/>
      <c r="S551" s="29"/>
      <c r="T551" s="29"/>
      <c r="U551" s="26" t="str">
        <f t="shared" si="83"/>
        <v/>
      </c>
      <c r="V551" s="26"/>
      <c r="W551" s="26" t="str">
        <f t="shared" si="84"/>
        <v/>
      </c>
      <c r="X551" s="26" t="str">
        <f t="shared" si="85"/>
        <v/>
      </c>
      <c r="Y551" s="26" t="str">
        <f t="shared" si="86"/>
        <v/>
      </c>
      <c r="Z551" s="26" t="str">
        <f t="shared" si="87"/>
        <v/>
      </c>
      <c r="AA551" s="26" t="str">
        <f t="shared" si="88"/>
        <v/>
      </c>
      <c r="AB551" s="5" t="str">
        <f t="shared" si="89"/>
        <v/>
      </c>
    </row>
    <row r="552" spans="1:28" ht="12" customHeight="1">
      <c r="A552" s="22">
        <v>560</v>
      </c>
      <c r="B552" s="30"/>
      <c r="C552" s="30"/>
      <c r="D552" s="29"/>
      <c r="E552" s="29"/>
      <c r="F552" s="29"/>
      <c r="G552" s="29"/>
      <c r="H552" s="29"/>
      <c r="I552" s="25" t="str">
        <f t="shared" si="80"/>
        <v/>
      </c>
      <c r="J552" s="29"/>
      <c r="K552" s="25" t="str">
        <f t="shared" si="81"/>
        <v/>
      </c>
      <c r="L552" s="26" t="str">
        <f t="shared" si="82"/>
        <v/>
      </c>
      <c r="M552" s="29"/>
      <c r="N552" s="29"/>
      <c r="O552" s="29"/>
      <c r="P552" s="29"/>
      <c r="Q552" s="29"/>
      <c r="R552" s="29"/>
      <c r="S552" s="29"/>
      <c r="T552" s="29"/>
      <c r="U552" s="26" t="str">
        <f t="shared" si="83"/>
        <v/>
      </c>
      <c r="V552" s="26"/>
      <c r="W552" s="26" t="str">
        <f t="shared" si="84"/>
        <v/>
      </c>
      <c r="X552" s="26" t="str">
        <f t="shared" si="85"/>
        <v/>
      </c>
      <c r="Y552" s="26" t="str">
        <f t="shared" si="86"/>
        <v/>
      </c>
      <c r="Z552" s="26" t="str">
        <f t="shared" si="87"/>
        <v/>
      </c>
      <c r="AA552" s="26" t="str">
        <f t="shared" si="88"/>
        <v/>
      </c>
      <c r="AB552" s="5" t="str">
        <f t="shared" si="89"/>
        <v/>
      </c>
    </row>
    <row r="553" spans="1:28" ht="12" customHeight="1">
      <c r="A553" s="22">
        <v>561</v>
      </c>
      <c r="B553" s="30"/>
      <c r="C553" s="30"/>
      <c r="D553" s="29"/>
      <c r="E553" s="29"/>
      <c r="F553" s="29"/>
      <c r="G553" s="29"/>
      <c r="H553" s="29"/>
      <c r="I553" s="25" t="str">
        <f t="shared" si="80"/>
        <v/>
      </c>
      <c r="J553" s="29"/>
      <c r="K553" s="25" t="str">
        <f t="shared" si="81"/>
        <v/>
      </c>
      <c r="L553" s="26" t="str">
        <f t="shared" si="82"/>
        <v/>
      </c>
      <c r="M553" s="29"/>
      <c r="N553" s="29"/>
      <c r="O553" s="29"/>
      <c r="P553" s="29"/>
      <c r="Q553" s="29"/>
      <c r="R553" s="29"/>
      <c r="S553" s="29"/>
      <c r="T553" s="29"/>
      <c r="U553" s="26" t="str">
        <f t="shared" si="83"/>
        <v/>
      </c>
      <c r="V553" s="26"/>
      <c r="W553" s="26" t="str">
        <f t="shared" si="84"/>
        <v/>
      </c>
      <c r="X553" s="26" t="str">
        <f t="shared" si="85"/>
        <v/>
      </c>
      <c r="Y553" s="26" t="str">
        <f t="shared" si="86"/>
        <v/>
      </c>
      <c r="Z553" s="26" t="str">
        <f t="shared" si="87"/>
        <v/>
      </c>
      <c r="AA553" s="26" t="str">
        <f t="shared" si="88"/>
        <v/>
      </c>
      <c r="AB553" s="5" t="str">
        <f t="shared" si="89"/>
        <v/>
      </c>
    </row>
    <row r="554" spans="1:28" ht="12" customHeight="1">
      <c r="A554" s="22">
        <v>562</v>
      </c>
      <c r="B554" s="30"/>
      <c r="C554" s="30"/>
      <c r="D554" s="29"/>
      <c r="E554" s="29"/>
      <c r="F554" s="29"/>
      <c r="G554" s="29"/>
      <c r="H554" s="29"/>
      <c r="I554" s="25" t="str">
        <f t="shared" si="80"/>
        <v/>
      </c>
      <c r="J554" s="29"/>
      <c r="K554" s="25" t="str">
        <f t="shared" si="81"/>
        <v/>
      </c>
      <c r="L554" s="26" t="str">
        <f t="shared" si="82"/>
        <v/>
      </c>
      <c r="M554" s="29"/>
      <c r="N554" s="29"/>
      <c r="O554" s="29"/>
      <c r="P554" s="29"/>
      <c r="Q554" s="29"/>
      <c r="R554" s="29"/>
      <c r="S554" s="29"/>
      <c r="T554" s="29"/>
      <c r="U554" s="26" t="str">
        <f t="shared" si="83"/>
        <v/>
      </c>
      <c r="V554" s="26"/>
      <c r="W554" s="26" t="str">
        <f t="shared" si="84"/>
        <v/>
      </c>
      <c r="X554" s="26" t="str">
        <f t="shared" si="85"/>
        <v/>
      </c>
      <c r="Y554" s="26" t="str">
        <f t="shared" si="86"/>
        <v/>
      </c>
      <c r="Z554" s="26" t="str">
        <f t="shared" si="87"/>
        <v/>
      </c>
      <c r="AA554" s="26" t="str">
        <f t="shared" si="88"/>
        <v/>
      </c>
      <c r="AB554" s="5" t="str">
        <f t="shared" si="89"/>
        <v/>
      </c>
    </row>
    <row r="555" spans="1:28" ht="12" customHeight="1">
      <c r="A555" s="22">
        <v>563</v>
      </c>
      <c r="B555" s="30"/>
      <c r="C555" s="30"/>
      <c r="D555" s="29"/>
      <c r="E555" s="29"/>
      <c r="F555" s="29"/>
      <c r="G555" s="29"/>
      <c r="H555" s="29"/>
      <c r="I555" s="25" t="str">
        <f t="shared" si="80"/>
        <v/>
      </c>
      <c r="J555" s="29"/>
      <c r="K555" s="25" t="str">
        <f t="shared" si="81"/>
        <v/>
      </c>
      <c r="L555" s="26" t="str">
        <f t="shared" si="82"/>
        <v/>
      </c>
      <c r="M555" s="29"/>
      <c r="N555" s="29"/>
      <c r="O555" s="29"/>
      <c r="P555" s="29"/>
      <c r="Q555" s="29"/>
      <c r="R555" s="29"/>
      <c r="S555" s="29"/>
      <c r="T555" s="29"/>
      <c r="U555" s="26" t="str">
        <f t="shared" si="83"/>
        <v/>
      </c>
      <c r="V555" s="26"/>
      <c r="W555" s="26" t="str">
        <f t="shared" si="84"/>
        <v/>
      </c>
      <c r="X555" s="26" t="str">
        <f t="shared" si="85"/>
        <v/>
      </c>
      <c r="Y555" s="26" t="str">
        <f t="shared" si="86"/>
        <v/>
      </c>
      <c r="Z555" s="26" t="str">
        <f t="shared" si="87"/>
        <v/>
      </c>
      <c r="AA555" s="26" t="str">
        <f t="shared" si="88"/>
        <v/>
      </c>
      <c r="AB555" s="5" t="str">
        <f t="shared" si="89"/>
        <v/>
      </c>
    </row>
    <row r="556" spans="1:28" ht="12" customHeight="1">
      <c r="A556" s="22">
        <v>564</v>
      </c>
      <c r="B556" s="30"/>
      <c r="C556" s="30"/>
      <c r="D556" s="29"/>
      <c r="E556" s="29"/>
      <c r="F556" s="29"/>
      <c r="G556" s="29"/>
      <c r="H556" s="29"/>
      <c r="I556" s="25" t="str">
        <f t="shared" si="80"/>
        <v/>
      </c>
      <c r="J556" s="29"/>
      <c r="K556" s="25" t="str">
        <f t="shared" si="81"/>
        <v/>
      </c>
      <c r="L556" s="26" t="str">
        <f t="shared" si="82"/>
        <v/>
      </c>
      <c r="M556" s="29"/>
      <c r="N556" s="29"/>
      <c r="O556" s="29"/>
      <c r="P556" s="29"/>
      <c r="Q556" s="29"/>
      <c r="R556" s="29"/>
      <c r="S556" s="29"/>
      <c r="T556" s="29"/>
      <c r="U556" s="26" t="str">
        <f t="shared" si="83"/>
        <v/>
      </c>
      <c r="V556" s="26"/>
      <c r="W556" s="26" t="str">
        <f t="shared" si="84"/>
        <v/>
      </c>
      <c r="X556" s="26" t="str">
        <f t="shared" si="85"/>
        <v/>
      </c>
      <c r="Y556" s="26" t="str">
        <f t="shared" si="86"/>
        <v/>
      </c>
      <c r="Z556" s="26" t="str">
        <f t="shared" si="87"/>
        <v/>
      </c>
      <c r="AA556" s="26" t="str">
        <f t="shared" si="88"/>
        <v/>
      </c>
      <c r="AB556" s="5" t="str">
        <f t="shared" si="89"/>
        <v/>
      </c>
    </row>
    <row r="557" spans="1:28" ht="12" customHeight="1">
      <c r="A557" s="22">
        <v>565</v>
      </c>
      <c r="B557" s="30"/>
      <c r="C557" s="30"/>
      <c r="D557" s="29"/>
      <c r="E557" s="29"/>
      <c r="F557" s="29"/>
      <c r="G557" s="29"/>
      <c r="H557" s="29"/>
      <c r="I557" s="25" t="str">
        <f t="shared" si="80"/>
        <v/>
      </c>
      <c r="J557" s="29"/>
      <c r="K557" s="25" t="str">
        <f t="shared" si="81"/>
        <v/>
      </c>
      <c r="L557" s="26" t="str">
        <f t="shared" si="82"/>
        <v/>
      </c>
      <c r="M557" s="29"/>
      <c r="N557" s="29"/>
      <c r="O557" s="29"/>
      <c r="P557" s="29"/>
      <c r="Q557" s="29"/>
      <c r="R557" s="29"/>
      <c r="S557" s="29"/>
      <c r="T557" s="29"/>
      <c r="U557" s="26" t="str">
        <f t="shared" si="83"/>
        <v/>
      </c>
      <c r="V557" s="26"/>
      <c r="W557" s="26" t="str">
        <f t="shared" si="84"/>
        <v/>
      </c>
      <c r="X557" s="26" t="str">
        <f t="shared" si="85"/>
        <v/>
      </c>
      <c r="Y557" s="26" t="str">
        <f t="shared" si="86"/>
        <v/>
      </c>
      <c r="Z557" s="26" t="str">
        <f t="shared" si="87"/>
        <v/>
      </c>
      <c r="AA557" s="26" t="str">
        <f t="shared" si="88"/>
        <v/>
      </c>
      <c r="AB557" s="5" t="str">
        <f t="shared" si="89"/>
        <v/>
      </c>
    </row>
    <row r="558" spans="1:28" ht="12" customHeight="1">
      <c r="A558" s="22">
        <v>566</v>
      </c>
      <c r="B558" s="30"/>
      <c r="C558" s="30"/>
      <c r="D558" s="29"/>
      <c r="E558" s="29"/>
      <c r="F558" s="29"/>
      <c r="G558" s="29"/>
      <c r="H558" s="29"/>
      <c r="I558" s="25" t="str">
        <f t="shared" si="80"/>
        <v/>
      </c>
      <c r="J558" s="29"/>
      <c r="K558" s="25" t="str">
        <f t="shared" si="81"/>
        <v/>
      </c>
      <c r="L558" s="26" t="str">
        <f t="shared" si="82"/>
        <v/>
      </c>
      <c r="M558" s="29"/>
      <c r="N558" s="29"/>
      <c r="O558" s="29"/>
      <c r="P558" s="29"/>
      <c r="Q558" s="29"/>
      <c r="R558" s="29"/>
      <c r="S558" s="29"/>
      <c r="T558" s="29"/>
      <c r="U558" s="26" t="str">
        <f t="shared" si="83"/>
        <v/>
      </c>
      <c r="V558" s="26"/>
      <c r="W558" s="26" t="str">
        <f t="shared" si="84"/>
        <v/>
      </c>
      <c r="X558" s="26" t="str">
        <f t="shared" si="85"/>
        <v/>
      </c>
      <c r="Y558" s="26" t="str">
        <f t="shared" si="86"/>
        <v/>
      </c>
      <c r="Z558" s="26" t="str">
        <f t="shared" si="87"/>
        <v/>
      </c>
      <c r="AA558" s="26" t="str">
        <f t="shared" si="88"/>
        <v/>
      </c>
      <c r="AB558" s="5" t="str">
        <f t="shared" si="89"/>
        <v/>
      </c>
    </row>
    <row r="559" spans="1:28" ht="12" customHeight="1">
      <c r="A559" s="22">
        <v>567</v>
      </c>
      <c r="B559" s="30"/>
      <c r="C559" s="30"/>
      <c r="D559" s="29"/>
      <c r="E559" s="29"/>
      <c r="F559" s="29"/>
      <c r="G559" s="29"/>
      <c r="H559" s="29"/>
      <c r="I559" s="25" t="str">
        <f t="shared" si="80"/>
        <v/>
      </c>
      <c r="J559" s="29"/>
      <c r="K559" s="25" t="str">
        <f t="shared" si="81"/>
        <v/>
      </c>
      <c r="L559" s="26" t="str">
        <f t="shared" si="82"/>
        <v/>
      </c>
      <c r="M559" s="29"/>
      <c r="N559" s="29"/>
      <c r="O559" s="29"/>
      <c r="P559" s="29"/>
      <c r="Q559" s="29"/>
      <c r="R559" s="29"/>
      <c r="S559" s="29"/>
      <c r="T559" s="29"/>
      <c r="U559" s="26" t="str">
        <f t="shared" si="83"/>
        <v/>
      </c>
      <c r="V559" s="26"/>
      <c r="W559" s="26" t="str">
        <f t="shared" si="84"/>
        <v/>
      </c>
      <c r="X559" s="26" t="str">
        <f t="shared" si="85"/>
        <v/>
      </c>
      <c r="Y559" s="26" t="str">
        <f t="shared" si="86"/>
        <v/>
      </c>
      <c r="Z559" s="26" t="str">
        <f t="shared" si="87"/>
        <v/>
      </c>
      <c r="AA559" s="26" t="str">
        <f t="shared" si="88"/>
        <v/>
      </c>
      <c r="AB559" s="5" t="str">
        <f t="shared" si="89"/>
        <v/>
      </c>
    </row>
    <row r="560" spans="1:28" ht="12" customHeight="1">
      <c r="A560" s="22">
        <v>568</v>
      </c>
      <c r="B560" s="30"/>
      <c r="C560" s="30"/>
      <c r="D560" s="29"/>
      <c r="E560" s="29"/>
      <c r="F560" s="29"/>
      <c r="G560" s="29"/>
      <c r="H560" s="29"/>
      <c r="I560" s="25" t="str">
        <f t="shared" si="80"/>
        <v/>
      </c>
      <c r="J560" s="29"/>
      <c r="K560" s="25" t="str">
        <f t="shared" si="81"/>
        <v/>
      </c>
      <c r="L560" s="26" t="str">
        <f t="shared" si="82"/>
        <v/>
      </c>
      <c r="M560" s="29"/>
      <c r="N560" s="29"/>
      <c r="O560" s="29"/>
      <c r="P560" s="29"/>
      <c r="Q560" s="29"/>
      <c r="R560" s="29"/>
      <c r="S560" s="29"/>
      <c r="T560" s="29"/>
      <c r="U560" s="26" t="str">
        <f t="shared" si="83"/>
        <v/>
      </c>
      <c r="V560" s="26"/>
      <c r="W560" s="26" t="str">
        <f t="shared" si="84"/>
        <v/>
      </c>
      <c r="X560" s="26" t="str">
        <f t="shared" si="85"/>
        <v/>
      </c>
      <c r="Y560" s="26" t="str">
        <f t="shared" si="86"/>
        <v/>
      </c>
      <c r="Z560" s="26" t="str">
        <f t="shared" si="87"/>
        <v/>
      </c>
      <c r="AA560" s="26" t="str">
        <f t="shared" si="88"/>
        <v/>
      </c>
      <c r="AB560" s="5" t="str">
        <f t="shared" si="89"/>
        <v/>
      </c>
    </row>
    <row r="561" spans="1:28" ht="12" customHeight="1">
      <c r="A561" s="22">
        <v>569</v>
      </c>
      <c r="B561" s="30"/>
      <c r="C561" s="30"/>
      <c r="D561" s="29"/>
      <c r="E561" s="29"/>
      <c r="F561" s="29"/>
      <c r="G561" s="29"/>
      <c r="H561" s="29"/>
      <c r="I561" s="25" t="str">
        <f t="shared" si="80"/>
        <v/>
      </c>
      <c r="J561" s="29"/>
      <c r="K561" s="25" t="str">
        <f t="shared" si="81"/>
        <v/>
      </c>
      <c r="L561" s="26" t="str">
        <f t="shared" si="82"/>
        <v/>
      </c>
      <c r="M561" s="29"/>
      <c r="N561" s="29"/>
      <c r="O561" s="29"/>
      <c r="P561" s="29"/>
      <c r="Q561" s="29"/>
      <c r="R561" s="29"/>
      <c r="S561" s="29"/>
      <c r="T561" s="29"/>
      <c r="U561" s="26" t="str">
        <f t="shared" si="83"/>
        <v/>
      </c>
      <c r="V561" s="26"/>
      <c r="W561" s="26" t="str">
        <f t="shared" si="84"/>
        <v/>
      </c>
      <c r="X561" s="26" t="str">
        <f t="shared" si="85"/>
        <v/>
      </c>
      <c r="Y561" s="26" t="str">
        <f t="shared" si="86"/>
        <v/>
      </c>
      <c r="Z561" s="26" t="str">
        <f t="shared" si="87"/>
        <v/>
      </c>
      <c r="AA561" s="26" t="str">
        <f t="shared" si="88"/>
        <v/>
      </c>
      <c r="AB561" s="5" t="str">
        <f t="shared" si="89"/>
        <v/>
      </c>
    </row>
    <row r="562" spans="1:28" ht="12" customHeight="1">
      <c r="A562" s="22">
        <v>570</v>
      </c>
      <c r="B562" s="30"/>
      <c r="C562" s="30"/>
      <c r="D562" s="29"/>
      <c r="E562" s="29"/>
      <c r="F562" s="29"/>
      <c r="G562" s="29"/>
      <c r="H562" s="29"/>
      <c r="I562" s="25" t="str">
        <f t="shared" si="80"/>
        <v/>
      </c>
      <c r="J562" s="29"/>
      <c r="K562" s="25" t="str">
        <f t="shared" si="81"/>
        <v/>
      </c>
      <c r="L562" s="26" t="str">
        <f t="shared" si="82"/>
        <v/>
      </c>
      <c r="M562" s="29"/>
      <c r="N562" s="29"/>
      <c r="O562" s="29"/>
      <c r="P562" s="29"/>
      <c r="Q562" s="29"/>
      <c r="R562" s="29"/>
      <c r="S562" s="29"/>
      <c r="T562" s="29"/>
      <c r="U562" s="26" t="str">
        <f t="shared" si="83"/>
        <v/>
      </c>
      <c r="V562" s="26"/>
      <c r="W562" s="26" t="str">
        <f t="shared" si="84"/>
        <v/>
      </c>
      <c r="X562" s="26" t="str">
        <f t="shared" si="85"/>
        <v/>
      </c>
      <c r="Y562" s="26" t="str">
        <f t="shared" si="86"/>
        <v/>
      </c>
      <c r="Z562" s="26" t="str">
        <f t="shared" si="87"/>
        <v/>
      </c>
      <c r="AA562" s="26" t="str">
        <f t="shared" si="88"/>
        <v/>
      </c>
      <c r="AB562" s="5" t="str">
        <f t="shared" si="89"/>
        <v/>
      </c>
    </row>
    <row r="563" spans="1:28" ht="12" customHeight="1">
      <c r="A563" s="22">
        <v>571</v>
      </c>
      <c r="B563" s="30"/>
      <c r="C563" s="30"/>
      <c r="D563" s="29"/>
      <c r="E563" s="29"/>
      <c r="F563" s="29"/>
      <c r="G563" s="29"/>
      <c r="H563" s="29"/>
      <c r="I563" s="25" t="str">
        <f t="shared" si="80"/>
        <v/>
      </c>
      <c r="J563" s="29"/>
      <c r="K563" s="25" t="str">
        <f t="shared" si="81"/>
        <v/>
      </c>
      <c r="L563" s="26" t="str">
        <f t="shared" si="82"/>
        <v/>
      </c>
      <c r="M563" s="29"/>
      <c r="N563" s="29"/>
      <c r="O563" s="29"/>
      <c r="P563" s="29"/>
      <c r="Q563" s="29"/>
      <c r="R563" s="29"/>
      <c r="S563" s="29"/>
      <c r="T563" s="29"/>
      <c r="U563" s="26" t="str">
        <f t="shared" si="83"/>
        <v/>
      </c>
      <c r="V563" s="26"/>
      <c r="W563" s="26" t="str">
        <f t="shared" si="84"/>
        <v/>
      </c>
      <c r="X563" s="26" t="str">
        <f t="shared" si="85"/>
        <v/>
      </c>
      <c r="Y563" s="26" t="str">
        <f t="shared" si="86"/>
        <v/>
      </c>
      <c r="Z563" s="26" t="str">
        <f t="shared" si="87"/>
        <v/>
      </c>
      <c r="AA563" s="26" t="str">
        <f t="shared" si="88"/>
        <v/>
      </c>
      <c r="AB563" s="5" t="str">
        <f t="shared" si="89"/>
        <v/>
      </c>
    </row>
    <row r="564" spans="1:28" ht="12" customHeight="1">
      <c r="A564" s="22">
        <v>572</v>
      </c>
      <c r="B564" s="30"/>
      <c r="C564" s="30"/>
      <c r="D564" s="29"/>
      <c r="E564" s="29"/>
      <c r="F564" s="29"/>
      <c r="G564" s="29"/>
      <c r="H564" s="29"/>
      <c r="I564" s="25" t="str">
        <f t="shared" si="80"/>
        <v/>
      </c>
      <c r="J564" s="29"/>
      <c r="K564" s="25" t="str">
        <f t="shared" si="81"/>
        <v/>
      </c>
      <c r="L564" s="26" t="str">
        <f t="shared" si="82"/>
        <v/>
      </c>
      <c r="M564" s="29"/>
      <c r="N564" s="29"/>
      <c r="O564" s="29"/>
      <c r="P564" s="29"/>
      <c r="Q564" s="29"/>
      <c r="R564" s="29"/>
      <c r="S564" s="29"/>
      <c r="T564" s="29"/>
      <c r="U564" s="26" t="str">
        <f t="shared" si="83"/>
        <v/>
      </c>
      <c r="V564" s="26"/>
      <c r="W564" s="26" t="str">
        <f t="shared" si="84"/>
        <v/>
      </c>
      <c r="X564" s="26" t="str">
        <f t="shared" si="85"/>
        <v/>
      </c>
      <c r="Y564" s="26" t="str">
        <f t="shared" si="86"/>
        <v/>
      </c>
      <c r="Z564" s="26" t="str">
        <f t="shared" si="87"/>
        <v/>
      </c>
      <c r="AA564" s="26" t="str">
        <f t="shared" si="88"/>
        <v/>
      </c>
      <c r="AB564" s="5" t="str">
        <f t="shared" si="89"/>
        <v/>
      </c>
    </row>
    <row r="565" spans="1:28" ht="12" customHeight="1">
      <c r="A565" s="22">
        <v>573</v>
      </c>
      <c r="B565" s="30"/>
      <c r="C565" s="30"/>
      <c r="D565" s="29"/>
      <c r="E565" s="29"/>
      <c r="F565" s="29"/>
      <c r="G565" s="29"/>
      <c r="H565" s="29"/>
      <c r="I565" s="25" t="str">
        <f t="shared" si="80"/>
        <v/>
      </c>
      <c r="J565" s="29"/>
      <c r="K565" s="25" t="str">
        <f t="shared" si="81"/>
        <v/>
      </c>
      <c r="L565" s="26" t="str">
        <f t="shared" si="82"/>
        <v/>
      </c>
      <c r="M565" s="29"/>
      <c r="N565" s="29"/>
      <c r="O565" s="29"/>
      <c r="P565" s="29"/>
      <c r="Q565" s="29"/>
      <c r="R565" s="29"/>
      <c r="S565" s="29"/>
      <c r="T565" s="29"/>
      <c r="U565" s="26" t="str">
        <f t="shared" si="83"/>
        <v/>
      </c>
      <c r="V565" s="26"/>
      <c r="W565" s="26" t="str">
        <f t="shared" si="84"/>
        <v/>
      </c>
      <c r="X565" s="26" t="str">
        <f t="shared" si="85"/>
        <v/>
      </c>
      <c r="Y565" s="26" t="str">
        <f t="shared" si="86"/>
        <v/>
      </c>
      <c r="Z565" s="26" t="str">
        <f t="shared" si="87"/>
        <v/>
      </c>
      <c r="AA565" s="26" t="str">
        <f t="shared" si="88"/>
        <v/>
      </c>
      <c r="AB565" s="5" t="str">
        <f t="shared" si="89"/>
        <v/>
      </c>
    </row>
    <row r="566" spans="1:28" ht="12" customHeight="1">
      <c r="A566" s="22">
        <v>574</v>
      </c>
      <c r="B566" s="30"/>
      <c r="C566" s="30"/>
      <c r="D566" s="29"/>
      <c r="E566" s="29"/>
      <c r="F566" s="29"/>
      <c r="G566" s="29"/>
      <c r="H566" s="29"/>
      <c r="I566" s="25" t="str">
        <f t="shared" si="80"/>
        <v/>
      </c>
      <c r="J566" s="29"/>
      <c r="K566" s="25" t="str">
        <f t="shared" si="81"/>
        <v/>
      </c>
      <c r="L566" s="26" t="str">
        <f t="shared" si="82"/>
        <v/>
      </c>
      <c r="M566" s="29"/>
      <c r="N566" s="29"/>
      <c r="O566" s="29"/>
      <c r="P566" s="29"/>
      <c r="Q566" s="29"/>
      <c r="R566" s="29"/>
      <c r="S566" s="29"/>
      <c r="T566" s="29"/>
      <c r="U566" s="26" t="str">
        <f t="shared" si="83"/>
        <v/>
      </c>
      <c r="V566" s="26"/>
      <c r="W566" s="26" t="str">
        <f t="shared" si="84"/>
        <v/>
      </c>
      <c r="X566" s="26" t="str">
        <f t="shared" si="85"/>
        <v/>
      </c>
      <c r="Y566" s="26" t="str">
        <f t="shared" si="86"/>
        <v/>
      </c>
      <c r="Z566" s="26" t="str">
        <f t="shared" si="87"/>
        <v/>
      </c>
      <c r="AA566" s="26" t="str">
        <f t="shared" si="88"/>
        <v/>
      </c>
      <c r="AB566" s="5" t="str">
        <f t="shared" si="89"/>
        <v/>
      </c>
    </row>
    <row r="567" spans="1:28" ht="12" customHeight="1">
      <c r="A567" s="22">
        <v>575</v>
      </c>
      <c r="B567" s="30"/>
      <c r="C567" s="30"/>
      <c r="D567" s="29"/>
      <c r="E567" s="29"/>
      <c r="F567" s="29"/>
      <c r="G567" s="29"/>
      <c r="H567" s="29"/>
      <c r="I567" s="25" t="str">
        <f t="shared" si="80"/>
        <v/>
      </c>
      <c r="J567" s="29"/>
      <c r="K567" s="25" t="str">
        <f t="shared" si="81"/>
        <v/>
      </c>
      <c r="L567" s="26" t="str">
        <f t="shared" si="82"/>
        <v/>
      </c>
      <c r="M567" s="29"/>
      <c r="N567" s="29"/>
      <c r="O567" s="29"/>
      <c r="P567" s="29"/>
      <c r="Q567" s="29"/>
      <c r="R567" s="29"/>
      <c r="S567" s="29"/>
      <c r="T567" s="29"/>
      <c r="U567" s="26" t="str">
        <f t="shared" si="83"/>
        <v/>
      </c>
      <c r="V567" s="26"/>
      <c r="W567" s="26" t="str">
        <f t="shared" si="84"/>
        <v/>
      </c>
      <c r="X567" s="26" t="str">
        <f t="shared" si="85"/>
        <v/>
      </c>
      <c r="Y567" s="26" t="str">
        <f t="shared" si="86"/>
        <v/>
      </c>
      <c r="Z567" s="26" t="str">
        <f t="shared" si="87"/>
        <v/>
      </c>
      <c r="AA567" s="26" t="str">
        <f t="shared" si="88"/>
        <v/>
      </c>
      <c r="AB567" s="5" t="str">
        <f t="shared" si="89"/>
        <v/>
      </c>
    </row>
    <row r="568" spans="1:28" ht="12" customHeight="1">
      <c r="A568" s="22">
        <v>576</v>
      </c>
      <c r="B568" s="30"/>
      <c r="C568" s="30"/>
      <c r="D568" s="29"/>
      <c r="E568" s="29"/>
      <c r="F568" s="29"/>
      <c r="G568" s="29"/>
      <c r="H568" s="29"/>
      <c r="I568" s="25" t="str">
        <f t="shared" si="80"/>
        <v/>
      </c>
      <c r="J568" s="29"/>
      <c r="K568" s="25" t="str">
        <f t="shared" si="81"/>
        <v/>
      </c>
      <c r="L568" s="26" t="str">
        <f t="shared" si="82"/>
        <v/>
      </c>
      <c r="M568" s="29"/>
      <c r="N568" s="29"/>
      <c r="O568" s="29"/>
      <c r="P568" s="29"/>
      <c r="Q568" s="29"/>
      <c r="R568" s="29"/>
      <c r="S568" s="29"/>
      <c r="T568" s="29"/>
      <c r="U568" s="26" t="str">
        <f t="shared" si="83"/>
        <v/>
      </c>
      <c r="V568" s="26"/>
      <c r="W568" s="26" t="str">
        <f t="shared" si="84"/>
        <v/>
      </c>
      <c r="X568" s="26" t="str">
        <f t="shared" si="85"/>
        <v/>
      </c>
      <c r="Y568" s="26" t="str">
        <f t="shared" si="86"/>
        <v/>
      </c>
      <c r="Z568" s="26" t="str">
        <f t="shared" si="87"/>
        <v/>
      </c>
      <c r="AA568" s="26" t="str">
        <f t="shared" si="88"/>
        <v/>
      </c>
      <c r="AB568" s="5" t="str">
        <f t="shared" si="89"/>
        <v/>
      </c>
    </row>
    <row r="569" spans="1:28" ht="12" customHeight="1">
      <c r="A569" s="22">
        <v>577</v>
      </c>
      <c r="B569" s="30"/>
      <c r="C569" s="30"/>
      <c r="D569" s="29"/>
      <c r="E569" s="29"/>
      <c r="F569" s="29"/>
      <c r="G569" s="29"/>
      <c r="H569" s="29"/>
      <c r="I569" s="25" t="str">
        <f t="shared" si="80"/>
        <v/>
      </c>
      <c r="J569" s="29"/>
      <c r="K569" s="25" t="str">
        <f t="shared" si="81"/>
        <v/>
      </c>
      <c r="L569" s="26" t="str">
        <f t="shared" si="82"/>
        <v/>
      </c>
      <c r="M569" s="29"/>
      <c r="N569" s="29"/>
      <c r="O569" s="29"/>
      <c r="P569" s="29"/>
      <c r="Q569" s="29"/>
      <c r="R569" s="29"/>
      <c r="S569" s="29"/>
      <c r="T569" s="29"/>
      <c r="U569" s="26" t="str">
        <f t="shared" si="83"/>
        <v/>
      </c>
      <c r="V569" s="26"/>
      <c r="W569" s="26" t="str">
        <f t="shared" si="84"/>
        <v/>
      </c>
      <c r="X569" s="26" t="str">
        <f t="shared" si="85"/>
        <v/>
      </c>
      <c r="Y569" s="26" t="str">
        <f t="shared" si="86"/>
        <v/>
      </c>
      <c r="Z569" s="26" t="str">
        <f t="shared" si="87"/>
        <v/>
      </c>
      <c r="AA569" s="26" t="str">
        <f t="shared" si="88"/>
        <v/>
      </c>
      <c r="AB569" s="5" t="str">
        <f t="shared" si="89"/>
        <v/>
      </c>
    </row>
    <row r="570" spans="1:28" ht="12" customHeight="1">
      <c r="A570" s="22">
        <v>578</v>
      </c>
      <c r="B570" s="30"/>
      <c r="C570" s="30"/>
      <c r="D570" s="29"/>
      <c r="E570" s="29"/>
      <c r="F570" s="29"/>
      <c r="G570" s="29"/>
      <c r="H570" s="29"/>
      <c r="I570" s="25" t="str">
        <f t="shared" si="80"/>
        <v/>
      </c>
      <c r="J570" s="29"/>
      <c r="K570" s="25" t="str">
        <f t="shared" si="81"/>
        <v/>
      </c>
      <c r="L570" s="26" t="str">
        <f t="shared" si="82"/>
        <v/>
      </c>
      <c r="M570" s="29"/>
      <c r="N570" s="29"/>
      <c r="O570" s="29"/>
      <c r="P570" s="29"/>
      <c r="Q570" s="29"/>
      <c r="R570" s="29"/>
      <c r="S570" s="29"/>
      <c r="T570" s="29"/>
      <c r="U570" s="26" t="str">
        <f t="shared" si="83"/>
        <v/>
      </c>
      <c r="V570" s="26"/>
      <c r="W570" s="26" t="str">
        <f t="shared" si="84"/>
        <v/>
      </c>
      <c r="X570" s="26" t="str">
        <f t="shared" si="85"/>
        <v/>
      </c>
      <c r="Y570" s="26" t="str">
        <f t="shared" si="86"/>
        <v/>
      </c>
      <c r="Z570" s="26" t="str">
        <f t="shared" si="87"/>
        <v/>
      </c>
      <c r="AA570" s="26" t="str">
        <f t="shared" si="88"/>
        <v/>
      </c>
      <c r="AB570" s="5" t="str">
        <f t="shared" si="89"/>
        <v/>
      </c>
    </row>
    <row r="571" spans="1:28" ht="12" customHeight="1">
      <c r="A571" s="22">
        <v>579</v>
      </c>
      <c r="B571" s="30"/>
      <c r="C571" s="30"/>
      <c r="D571" s="29"/>
      <c r="E571" s="29"/>
      <c r="F571" s="29"/>
      <c r="G571" s="29"/>
      <c r="H571" s="29"/>
      <c r="I571" s="25" t="str">
        <f t="shared" si="80"/>
        <v/>
      </c>
      <c r="J571" s="29"/>
      <c r="K571" s="25" t="str">
        <f t="shared" si="81"/>
        <v/>
      </c>
      <c r="L571" s="26" t="str">
        <f t="shared" si="82"/>
        <v/>
      </c>
      <c r="M571" s="29"/>
      <c r="N571" s="29"/>
      <c r="O571" s="29"/>
      <c r="P571" s="29"/>
      <c r="Q571" s="29"/>
      <c r="R571" s="29"/>
      <c r="S571" s="29"/>
      <c r="T571" s="29"/>
      <c r="U571" s="26" t="str">
        <f t="shared" si="83"/>
        <v/>
      </c>
      <c r="V571" s="26"/>
      <c r="W571" s="26" t="str">
        <f t="shared" si="84"/>
        <v/>
      </c>
      <c r="X571" s="26" t="str">
        <f t="shared" si="85"/>
        <v/>
      </c>
      <c r="Y571" s="26" t="str">
        <f t="shared" si="86"/>
        <v/>
      </c>
      <c r="Z571" s="26" t="str">
        <f t="shared" si="87"/>
        <v/>
      </c>
      <c r="AA571" s="26" t="str">
        <f t="shared" si="88"/>
        <v/>
      </c>
      <c r="AB571" s="5" t="str">
        <f t="shared" si="89"/>
        <v/>
      </c>
    </row>
    <row r="572" spans="1:28" ht="12" customHeight="1">
      <c r="A572" s="22">
        <v>580</v>
      </c>
      <c r="B572" s="30"/>
      <c r="C572" s="30"/>
      <c r="D572" s="29"/>
      <c r="E572" s="29"/>
      <c r="F572" s="29"/>
      <c r="G572" s="29"/>
      <c r="H572" s="29"/>
      <c r="I572" s="25" t="str">
        <f t="shared" si="80"/>
        <v/>
      </c>
      <c r="J572" s="29"/>
      <c r="K572" s="25" t="str">
        <f t="shared" si="81"/>
        <v/>
      </c>
      <c r="L572" s="26" t="str">
        <f t="shared" si="82"/>
        <v/>
      </c>
      <c r="M572" s="29"/>
      <c r="N572" s="29"/>
      <c r="O572" s="29"/>
      <c r="P572" s="29"/>
      <c r="Q572" s="29"/>
      <c r="R572" s="29"/>
      <c r="S572" s="29"/>
      <c r="T572" s="29"/>
      <c r="U572" s="26" t="str">
        <f t="shared" si="83"/>
        <v/>
      </c>
      <c r="V572" s="26"/>
      <c r="W572" s="26" t="str">
        <f t="shared" si="84"/>
        <v/>
      </c>
      <c r="X572" s="26" t="str">
        <f t="shared" si="85"/>
        <v/>
      </c>
      <c r="Y572" s="26" t="str">
        <f t="shared" si="86"/>
        <v/>
      </c>
      <c r="Z572" s="26" t="str">
        <f t="shared" si="87"/>
        <v/>
      </c>
      <c r="AA572" s="26" t="str">
        <f t="shared" si="88"/>
        <v/>
      </c>
      <c r="AB572" s="5" t="str">
        <f t="shared" si="89"/>
        <v/>
      </c>
    </row>
    <row r="573" spans="1:28" ht="12" customHeight="1">
      <c r="A573" s="22">
        <v>581</v>
      </c>
      <c r="B573" s="30"/>
      <c r="C573" s="30"/>
      <c r="D573" s="29"/>
      <c r="E573" s="29"/>
      <c r="F573" s="29"/>
      <c r="G573" s="29"/>
      <c r="H573" s="29"/>
      <c r="I573" s="25" t="str">
        <f t="shared" si="80"/>
        <v/>
      </c>
      <c r="J573" s="29"/>
      <c r="K573" s="25" t="str">
        <f t="shared" si="81"/>
        <v/>
      </c>
      <c r="L573" s="26" t="str">
        <f t="shared" si="82"/>
        <v/>
      </c>
      <c r="M573" s="29"/>
      <c r="N573" s="29"/>
      <c r="O573" s="29"/>
      <c r="P573" s="29"/>
      <c r="Q573" s="29"/>
      <c r="R573" s="29"/>
      <c r="S573" s="29"/>
      <c r="T573" s="29"/>
      <c r="U573" s="26" t="str">
        <f t="shared" si="83"/>
        <v/>
      </c>
      <c r="V573" s="26"/>
      <c r="W573" s="26" t="str">
        <f t="shared" si="84"/>
        <v/>
      </c>
      <c r="X573" s="26" t="str">
        <f t="shared" si="85"/>
        <v/>
      </c>
      <c r="Y573" s="26" t="str">
        <f t="shared" si="86"/>
        <v/>
      </c>
      <c r="Z573" s="26" t="str">
        <f t="shared" si="87"/>
        <v/>
      </c>
      <c r="AA573" s="26" t="str">
        <f t="shared" si="88"/>
        <v/>
      </c>
      <c r="AB573" s="5" t="str">
        <f t="shared" si="89"/>
        <v/>
      </c>
    </row>
    <row r="574" spans="1:28" ht="12" customHeight="1">
      <c r="A574" s="22">
        <v>582</v>
      </c>
      <c r="B574" s="30"/>
      <c r="C574" s="30"/>
      <c r="D574" s="29"/>
      <c r="E574" s="29"/>
      <c r="F574" s="29"/>
      <c r="G574" s="29"/>
      <c r="H574" s="29"/>
      <c r="I574" s="25" t="str">
        <f t="shared" si="80"/>
        <v/>
      </c>
      <c r="J574" s="29"/>
      <c r="K574" s="25" t="str">
        <f t="shared" si="81"/>
        <v/>
      </c>
      <c r="L574" s="26" t="str">
        <f t="shared" si="82"/>
        <v/>
      </c>
      <c r="M574" s="29"/>
      <c r="N574" s="29"/>
      <c r="O574" s="29"/>
      <c r="P574" s="29"/>
      <c r="Q574" s="29"/>
      <c r="R574" s="29"/>
      <c r="S574" s="29"/>
      <c r="T574" s="29"/>
      <c r="U574" s="26" t="str">
        <f t="shared" si="83"/>
        <v/>
      </c>
      <c r="V574" s="26"/>
      <c r="W574" s="26" t="str">
        <f t="shared" si="84"/>
        <v/>
      </c>
      <c r="X574" s="26" t="str">
        <f t="shared" si="85"/>
        <v/>
      </c>
      <c r="Y574" s="26" t="str">
        <f t="shared" si="86"/>
        <v/>
      </c>
      <c r="Z574" s="26" t="str">
        <f t="shared" si="87"/>
        <v/>
      </c>
      <c r="AA574" s="26" t="str">
        <f t="shared" si="88"/>
        <v/>
      </c>
      <c r="AB574" s="5" t="str">
        <f t="shared" si="89"/>
        <v/>
      </c>
    </row>
    <row r="575" spans="1:28" ht="12" customHeight="1">
      <c r="A575" s="22">
        <v>583</v>
      </c>
      <c r="B575" s="30"/>
      <c r="C575" s="30"/>
      <c r="D575" s="29"/>
      <c r="E575" s="29"/>
      <c r="F575" s="29"/>
      <c r="G575" s="29"/>
      <c r="H575" s="29"/>
      <c r="I575" s="25" t="str">
        <f t="shared" si="80"/>
        <v/>
      </c>
      <c r="J575" s="29"/>
      <c r="K575" s="25" t="str">
        <f t="shared" si="81"/>
        <v/>
      </c>
      <c r="L575" s="26" t="str">
        <f t="shared" si="82"/>
        <v/>
      </c>
      <c r="M575" s="29"/>
      <c r="N575" s="29"/>
      <c r="O575" s="29"/>
      <c r="P575" s="29"/>
      <c r="Q575" s="29"/>
      <c r="R575" s="29"/>
      <c r="S575" s="29"/>
      <c r="T575" s="29"/>
      <c r="U575" s="26" t="str">
        <f t="shared" si="83"/>
        <v/>
      </c>
      <c r="V575" s="26"/>
      <c r="W575" s="26" t="str">
        <f t="shared" si="84"/>
        <v/>
      </c>
      <c r="X575" s="26" t="str">
        <f t="shared" si="85"/>
        <v/>
      </c>
      <c r="Y575" s="26" t="str">
        <f t="shared" si="86"/>
        <v/>
      </c>
      <c r="Z575" s="26" t="str">
        <f t="shared" si="87"/>
        <v/>
      </c>
      <c r="AA575" s="26" t="str">
        <f t="shared" si="88"/>
        <v/>
      </c>
      <c r="AB575" s="5" t="str">
        <f t="shared" si="89"/>
        <v/>
      </c>
    </row>
    <row r="576" spans="1:28" ht="12" customHeight="1">
      <c r="A576" s="22">
        <v>584</v>
      </c>
      <c r="B576" s="30"/>
      <c r="C576" s="30"/>
      <c r="D576" s="29"/>
      <c r="E576" s="29"/>
      <c r="F576" s="29"/>
      <c r="G576" s="29"/>
      <c r="H576" s="29"/>
      <c r="I576" s="25" t="str">
        <f t="shared" si="80"/>
        <v/>
      </c>
      <c r="J576" s="29"/>
      <c r="K576" s="25" t="str">
        <f t="shared" si="81"/>
        <v/>
      </c>
      <c r="L576" s="26" t="str">
        <f t="shared" si="82"/>
        <v/>
      </c>
      <c r="M576" s="29"/>
      <c r="N576" s="29"/>
      <c r="O576" s="29"/>
      <c r="P576" s="29"/>
      <c r="Q576" s="29"/>
      <c r="R576" s="29"/>
      <c r="S576" s="29"/>
      <c r="T576" s="29"/>
      <c r="U576" s="26" t="str">
        <f t="shared" si="83"/>
        <v/>
      </c>
      <c r="V576" s="26"/>
      <c r="W576" s="26" t="str">
        <f t="shared" si="84"/>
        <v/>
      </c>
      <c r="X576" s="26" t="str">
        <f t="shared" si="85"/>
        <v/>
      </c>
      <c r="Y576" s="26" t="str">
        <f t="shared" si="86"/>
        <v/>
      </c>
      <c r="Z576" s="26" t="str">
        <f t="shared" si="87"/>
        <v/>
      </c>
      <c r="AA576" s="26" t="str">
        <f t="shared" si="88"/>
        <v/>
      </c>
      <c r="AB576" s="5" t="str">
        <f t="shared" si="89"/>
        <v/>
      </c>
    </row>
    <row r="577" spans="1:28" ht="12" customHeight="1">
      <c r="A577" s="22">
        <v>585</v>
      </c>
      <c r="B577" s="30"/>
      <c r="C577" s="30"/>
      <c r="D577" s="29"/>
      <c r="E577" s="29"/>
      <c r="F577" s="29"/>
      <c r="G577" s="29"/>
      <c r="H577" s="29"/>
      <c r="I577" s="25" t="str">
        <f t="shared" si="80"/>
        <v/>
      </c>
      <c r="J577" s="29"/>
      <c r="K577" s="25" t="str">
        <f t="shared" si="81"/>
        <v/>
      </c>
      <c r="L577" s="26" t="str">
        <f t="shared" si="82"/>
        <v/>
      </c>
      <c r="M577" s="29"/>
      <c r="N577" s="29"/>
      <c r="O577" s="29"/>
      <c r="P577" s="29"/>
      <c r="Q577" s="29"/>
      <c r="R577" s="29"/>
      <c r="S577" s="29"/>
      <c r="T577" s="29"/>
      <c r="U577" s="26" t="str">
        <f t="shared" si="83"/>
        <v/>
      </c>
      <c r="V577" s="26"/>
      <c r="W577" s="26" t="str">
        <f t="shared" si="84"/>
        <v/>
      </c>
      <c r="X577" s="26" t="str">
        <f t="shared" si="85"/>
        <v/>
      </c>
      <c r="Y577" s="26" t="str">
        <f t="shared" si="86"/>
        <v/>
      </c>
      <c r="Z577" s="26" t="str">
        <f t="shared" si="87"/>
        <v/>
      </c>
      <c r="AA577" s="26" t="str">
        <f t="shared" si="88"/>
        <v/>
      </c>
      <c r="AB577" s="5" t="str">
        <f t="shared" si="89"/>
        <v/>
      </c>
    </row>
    <row r="578" spans="1:28" ht="12" customHeight="1">
      <c r="A578" s="22">
        <v>586</v>
      </c>
      <c r="B578" s="30"/>
      <c r="C578" s="30"/>
      <c r="D578" s="29"/>
      <c r="E578" s="29"/>
      <c r="F578" s="29"/>
      <c r="G578" s="29"/>
      <c r="H578" s="29"/>
      <c r="I578" s="25" t="str">
        <f t="shared" si="80"/>
        <v/>
      </c>
      <c r="J578" s="29"/>
      <c r="K578" s="25" t="str">
        <f t="shared" si="81"/>
        <v/>
      </c>
      <c r="L578" s="26" t="str">
        <f t="shared" si="82"/>
        <v/>
      </c>
      <c r="M578" s="29"/>
      <c r="N578" s="29"/>
      <c r="O578" s="29"/>
      <c r="P578" s="29"/>
      <c r="Q578" s="29"/>
      <c r="R578" s="29"/>
      <c r="S578" s="29"/>
      <c r="T578" s="29"/>
      <c r="U578" s="26" t="str">
        <f t="shared" si="83"/>
        <v/>
      </c>
      <c r="V578" s="26"/>
      <c r="W578" s="26" t="str">
        <f t="shared" si="84"/>
        <v/>
      </c>
      <c r="X578" s="26" t="str">
        <f t="shared" si="85"/>
        <v/>
      </c>
      <c r="Y578" s="26" t="str">
        <f t="shared" si="86"/>
        <v/>
      </c>
      <c r="Z578" s="26" t="str">
        <f t="shared" si="87"/>
        <v/>
      </c>
      <c r="AA578" s="26" t="str">
        <f t="shared" si="88"/>
        <v/>
      </c>
      <c r="AB578" s="5" t="str">
        <f t="shared" si="89"/>
        <v/>
      </c>
    </row>
    <row r="579" spans="1:28" ht="12" customHeight="1">
      <c r="A579" s="22">
        <v>587</v>
      </c>
      <c r="B579" s="30"/>
      <c r="C579" s="30"/>
      <c r="D579" s="29"/>
      <c r="E579" s="29"/>
      <c r="F579" s="29"/>
      <c r="G579" s="29"/>
      <c r="H579" s="29"/>
      <c r="I579" s="25" t="str">
        <f t="shared" si="80"/>
        <v/>
      </c>
      <c r="J579" s="29"/>
      <c r="K579" s="25" t="str">
        <f t="shared" si="81"/>
        <v/>
      </c>
      <c r="L579" s="26" t="str">
        <f t="shared" si="82"/>
        <v/>
      </c>
      <c r="M579" s="29"/>
      <c r="N579" s="29"/>
      <c r="O579" s="29"/>
      <c r="P579" s="29"/>
      <c r="Q579" s="29"/>
      <c r="R579" s="29"/>
      <c r="S579" s="29"/>
      <c r="T579" s="29"/>
      <c r="U579" s="26" t="str">
        <f t="shared" si="83"/>
        <v/>
      </c>
      <c r="V579" s="26"/>
      <c r="W579" s="26" t="str">
        <f t="shared" si="84"/>
        <v/>
      </c>
      <c r="X579" s="26" t="str">
        <f t="shared" si="85"/>
        <v/>
      </c>
      <c r="Y579" s="26" t="str">
        <f t="shared" si="86"/>
        <v/>
      </c>
      <c r="Z579" s="26" t="str">
        <f t="shared" si="87"/>
        <v/>
      </c>
      <c r="AA579" s="26" t="str">
        <f t="shared" si="88"/>
        <v/>
      </c>
      <c r="AB579" s="5" t="str">
        <f t="shared" si="89"/>
        <v/>
      </c>
    </row>
    <row r="580" spans="1:28" ht="12" customHeight="1">
      <c r="A580" s="22">
        <v>588</v>
      </c>
      <c r="B580" s="30"/>
      <c r="C580" s="30"/>
      <c r="D580" s="29"/>
      <c r="E580" s="29"/>
      <c r="F580" s="29"/>
      <c r="G580" s="29"/>
      <c r="H580" s="29"/>
      <c r="I580" s="25" t="str">
        <f t="shared" si="80"/>
        <v/>
      </c>
      <c r="J580" s="29"/>
      <c r="K580" s="25" t="str">
        <f t="shared" si="81"/>
        <v/>
      </c>
      <c r="L580" s="26" t="str">
        <f t="shared" si="82"/>
        <v/>
      </c>
      <c r="M580" s="29"/>
      <c r="N580" s="29"/>
      <c r="O580" s="29"/>
      <c r="P580" s="29"/>
      <c r="Q580" s="29"/>
      <c r="R580" s="29"/>
      <c r="S580" s="29"/>
      <c r="T580" s="29"/>
      <c r="U580" s="26" t="str">
        <f t="shared" si="83"/>
        <v/>
      </c>
      <c r="V580" s="26"/>
      <c r="W580" s="26" t="str">
        <f t="shared" si="84"/>
        <v/>
      </c>
      <c r="X580" s="26" t="str">
        <f t="shared" si="85"/>
        <v/>
      </c>
      <c r="Y580" s="26" t="str">
        <f t="shared" si="86"/>
        <v/>
      </c>
      <c r="Z580" s="26" t="str">
        <f t="shared" si="87"/>
        <v/>
      </c>
      <c r="AA580" s="26" t="str">
        <f t="shared" si="88"/>
        <v/>
      </c>
      <c r="AB580" s="5" t="str">
        <f t="shared" si="89"/>
        <v/>
      </c>
    </row>
    <row r="581" spans="1:28" ht="12" customHeight="1">
      <c r="A581" s="22">
        <v>589</v>
      </c>
      <c r="B581" s="30"/>
      <c r="C581" s="30"/>
      <c r="D581" s="29"/>
      <c r="E581" s="29"/>
      <c r="F581" s="29"/>
      <c r="G581" s="29"/>
      <c r="H581" s="29"/>
      <c r="I581" s="25" t="str">
        <f t="shared" si="80"/>
        <v/>
      </c>
      <c r="J581" s="29"/>
      <c r="K581" s="25" t="str">
        <f t="shared" si="81"/>
        <v/>
      </c>
      <c r="L581" s="26" t="str">
        <f t="shared" si="82"/>
        <v/>
      </c>
      <c r="M581" s="29"/>
      <c r="N581" s="29"/>
      <c r="O581" s="29"/>
      <c r="P581" s="29"/>
      <c r="Q581" s="29"/>
      <c r="R581" s="29"/>
      <c r="S581" s="29"/>
      <c r="T581" s="29"/>
      <c r="U581" s="26" t="str">
        <f t="shared" si="83"/>
        <v/>
      </c>
      <c r="V581" s="26"/>
      <c r="W581" s="26" t="str">
        <f t="shared" si="84"/>
        <v/>
      </c>
      <c r="X581" s="26" t="str">
        <f t="shared" si="85"/>
        <v/>
      </c>
      <c r="Y581" s="26" t="str">
        <f t="shared" si="86"/>
        <v/>
      </c>
      <c r="Z581" s="26" t="str">
        <f t="shared" si="87"/>
        <v/>
      </c>
      <c r="AA581" s="26" t="str">
        <f t="shared" si="88"/>
        <v/>
      </c>
      <c r="AB581" s="5" t="str">
        <f t="shared" si="89"/>
        <v/>
      </c>
    </row>
    <row r="582" spans="1:28" ht="12" customHeight="1">
      <c r="A582" s="22">
        <v>590</v>
      </c>
      <c r="B582" s="30"/>
      <c r="C582" s="30"/>
      <c r="D582" s="29"/>
      <c r="E582" s="29"/>
      <c r="F582" s="29"/>
      <c r="G582" s="29"/>
      <c r="H582" s="29"/>
      <c r="I582" s="25" t="str">
        <f t="shared" ref="I582:I645" si="90">IFERROR(IF(H582="Unlikely",1,IF(H582="Possible",2,IF(H582="Likely",3,IF(H582="Almost Certain",4,IF(H582="Certain",5,""))))),"")</f>
        <v/>
      </c>
      <c r="J582" s="29"/>
      <c r="K582" s="25" t="str">
        <f t="shared" ref="K582:K645" si="91">IFERROR(IF(J582="Negligible",1,IF(J582="Minor",2,IF(J582="Moderate",3,IF(J582="Major",4,IF(J582="Critical",5,""))))),"")</f>
        <v/>
      </c>
      <c r="L582" s="26" t="str">
        <f t="shared" ref="L582:L645" si="92">IF(OR(I582="",K582=""),"",I582*K582)</f>
        <v/>
      </c>
      <c r="M582" s="29"/>
      <c r="N582" s="29"/>
      <c r="O582" s="29"/>
      <c r="P582" s="29"/>
      <c r="Q582" s="29"/>
      <c r="R582" s="29"/>
      <c r="S582" s="29"/>
      <c r="T582" s="29"/>
      <c r="U582" s="26" t="str">
        <f t="shared" ref="U582:U645" si="93">IF(L582="","",IF(L582&lt;=4,"Low",IF(L582&lt;=9,"Medium",IF(L582&lt;=15,"High","Critical"))))</f>
        <v/>
      </c>
      <c r="V582" s="26"/>
      <c r="W582" s="26" t="str">
        <f t="shared" ref="W582:W645" si="94">IF(I582="","",MAX(1,I582-(IF(V582="Limited",1,IF(V582="Partial",2,IF(V582="Substantial",3,IF(V582="Highly Effective",4,0)))))))</f>
        <v/>
      </c>
      <c r="X582" s="26" t="str">
        <f t="shared" ref="X582:X645" si="95">IF(K582="","",MAX(1,K582-ROUNDDOWN((IF(V582="Limited",1,IF(V582="Partial",2,IF(V582="Substantial",3,IF(V582="Highly Effective",4,0)))))/2,0)))</f>
        <v/>
      </c>
      <c r="Y582" s="26" t="str">
        <f t="shared" ref="Y582:Y645" si="96">IF(OR(W582="",X582=""),"",W582*X582)</f>
        <v/>
      </c>
      <c r="Z582" s="26" t="str">
        <f t="shared" ref="Z582:Z645" si="97">IF(Y582="","",IF(Y582&lt;=4,"Low",IF(Y582&lt;=9,"Medium",IF(Y582&lt;=15,"High","Critical"))))</f>
        <v/>
      </c>
      <c r="AA582" s="26" t="str">
        <f t="shared" ref="AA582:AA645" si="98">IF(OR(L582="",Y582=""),"",IF(Y582&lt;L582,"Reduced by "&amp;(L582-Y582)&amp;" pts",IF(Y582=L582,"No Change","Increased by "&amp;(Y582-L582)&amp;" pts")))</f>
        <v/>
      </c>
      <c r="AB582" s="5" t="str">
        <f t="shared" ref="AB582:AB645" si="99">IF(Y582="","",Y582+(ROW()/10000000))</f>
        <v/>
      </c>
    </row>
    <row r="583" spans="1:28" ht="12" customHeight="1">
      <c r="A583" s="22">
        <v>591</v>
      </c>
      <c r="B583" s="30"/>
      <c r="C583" s="30"/>
      <c r="D583" s="29"/>
      <c r="E583" s="29"/>
      <c r="F583" s="29"/>
      <c r="G583" s="29"/>
      <c r="H583" s="29"/>
      <c r="I583" s="25" t="str">
        <f t="shared" si="90"/>
        <v/>
      </c>
      <c r="J583" s="29"/>
      <c r="K583" s="25" t="str">
        <f t="shared" si="91"/>
        <v/>
      </c>
      <c r="L583" s="26" t="str">
        <f t="shared" si="92"/>
        <v/>
      </c>
      <c r="M583" s="29"/>
      <c r="N583" s="29"/>
      <c r="O583" s="29"/>
      <c r="P583" s="29"/>
      <c r="Q583" s="29"/>
      <c r="R583" s="29"/>
      <c r="S583" s="29"/>
      <c r="T583" s="29"/>
      <c r="U583" s="26" t="str">
        <f t="shared" si="93"/>
        <v/>
      </c>
      <c r="V583" s="26"/>
      <c r="W583" s="26" t="str">
        <f t="shared" si="94"/>
        <v/>
      </c>
      <c r="X583" s="26" t="str">
        <f t="shared" si="95"/>
        <v/>
      </c>
      <c r="Y583" s="26" t="str">
        <f t="shared" si="96"/>
        <v/>
      </c>
      <c r="Z583" s="26" t="str">
        <f t="shared" si="97"/>
        <v/>
      </c>
      <c r="AA583" s="26" t="str">
        <f t="shared" si="98"/>
        <v/>
      </c>
      <c r="AB583" s="5" t="str">
        <f t="shared" si="99"/>
        <v/>
      </c>
    </row>
    <row r="584" spans="1:28" ht="12" customHeight="1">
      <c r="A584" s="22">
        <v>592</v>
      </c>
      <c r="B584" s="30"/>
      <c r="C584" s="30"/>
      <c r="D584" s="29"/>
      <c r="E584" s="29"/>
      <c r="F584" s="29"/>
      <c r="G584" s="29"/>
      <c r="H584" s="29"/>
      <c r="I584" s="25" t="str">
        <f t="shared" si="90"/>
        <v/>
      </c>
      <c r="J584" s="29"/>
      <c r="K584" s="25" t="str">
        <f t="shared" si="91"/>
        <v/>
      </c>
      <c r="L584" s="26" t="str">
        <f t="shared" si="92"/>
        <v/>
      </c>
      <c r="M584" s="29"/>
      <c r="N584" s="29"/>
      <c r="O584" s="29"/>
      <c r="P584" s="29"/>
      <c r="Q584" s="29"/>
      <c r="R584" s="29"/>
      <c r="S584" s="29"/>
      <c r="T584" s="29"/>
      <c r="U584" s="26" t="str">
        <f t="shared" si="93"/>
        <v/>
      </c>
      <c r="V584" s="26"/>
      <c r="W584" s="26" t="str">
        <f t="shared" si="94"/>
        <v/>
      </c>
      <c r="X584" s="26" t="str">
        <f t="shared" si="95"/>
        <v/>
      </c>
      <c r="Y584" s="26" t="str">
        <f t="shared" si="96"/>
        <v/>
      </c>
      <c r="Z584" s="26" t="str">
        <f t="shared" si="97"/>
        <v/>
      </c>
      <c r="AA584" s="26" t="str">
        <f t="shared" si="98"/>
        <v/>
      </c>
      <c r="AB584" s="5" t="str">
        <f t="shared" si="99"/>
        <v/>
      </c>
    </row>
    <row r="585" spans="1:28" ht="12" customHeight="1">
      <c r="A585" s="22">
        <v>593</v>
      </c>
      <c r="B585" s="30"/>
      <c r="C585" s="30"/>
      <c r="D585" s="29"/>
      <c r="E585" s="29"/>
      <c r="F585" s="29"/>
      <c r="G585" s="29"/>
      <c r="H585" s="29"/>
      <c r="I585" s="25" t="str">
        <f t="shared" si="90"/>
        <v/>
      </c>
      <c r="J585" s="29"/>
      <c r="K585" s="25" t="str">
        <f t="shared" si="91"/>
        <v/>
      </c>
      <c r="L585" s="26" t="str">
        <f t="shared" si="92"/>
        <v/>
      </c>
      <c r="M585" s="29"/>
      <c r="N585" s="29"/>
      <c r="O585" s="29"/>
      <c r="P585" s="29"/>
      <c r="Q585" s="29"/>
      <c r="R585" s="29"/>
      <c r="S585" s="29"/>
      <c r="T585" s="29"/>
      <c r="U585" s="26" t="str">
        <f t="shared" si="93"/>
        <v/>
      </c>
      <c r="V585" s="26"/>
      <c r="W585" s="26" t="str">
        <f t="shared" si="94"/>
        <v/>
      </c>
      <c r="X585" s="26" t="str">
        <f t="shared" si="95"/>
        <v/>
      </c>
      <c r="Y585" s="26" t="str">
        <f t="shared" si="96"/>
        <v/>
      </c>
      <c r="Z585" s="26" t="str">
        <f t="shared" si="97"/>
        <v/>
      </c>
      <c r="AA585" s="26" t="str">
        <f t="shared" si="98"/>
        <v/>
      </c>
      <c r="AB585" s="5" t="str">
        <f t="shared" si="99"/>
        <v/>
      </c>
    </row>
    <row r="586" spans="1:28" ht="12" customHeight="1">
      <c r="A586" s="22">
        <v>594</v>
      </c>
      <c r="B586" s="30"/>
      <c r="C586" s="30"/>
      <c r="D586" s="29"/>
      <c r="E586" s="29"/>
      <c r="F586" s="29"/>
      <c r="G586" s="29"/>
      <c r="H586" s="29"/>
      <c r="I586" s="25" t="str">
        <f t="shared" si="90"/>
        <v/>
      </c>
      <c r="J586" s="29"/>
      <c r="K586" s="25" t="str">
        <f t="shared" si="91"/>
        <v/>
      </c>
      <c r="L586" s="26" t="str">
        <f t="shared" si="92"/>
        <v/>
      </c>
      <c r="M586" s="29"/>
      <c r="N586" s="29"/>
      <c r="O586" s="29"/>
      <c r="P586" s="29"/>
      <c r="Q586" s="29"/>
      <c r="R586" s="29"/>
      <c r="S586" s="29"/>
      <c r="T586" s="29"/>
      <c r="U586" s="26" t="str">
        <f t="shared" si="93"/>
        <v/>
      </c>
      <c r="V586" s="26"/>
      <c r="W586" s="26" t="str">
        <f t="shared" si="94"/>
        <v/>
      </c>
      <c r="X586" s="26" t="str">
        <f t="shared" si="95"/>
        <v/>
      </c>
      <c r="Y586" s="26" t="str">
        <f t="shared" si="96"/>
        <v/>
      </c>
      <c r="Z586" s="26" t="str">
        <f t="shared" si="97"/>
        <v/>
      </c>
      <c r="AA586" s="26" t="str">
        <f t="shared" si="98"/>
        <v/>
      </c>
      <c r="AB586" s="5" t="str">
        <f t="shared" si="99"/>
        <v/>
      </c>
    </row>
    <row r="587" spans="1:28" ht="12" customHeight="1">
      <c r="A587" s="22">
        <v>595</v>
      </c>
      <c r="B587" s="30"/>
      <c r="C587" s="30"/>
      <c r="D587" s="29"/>
      <c r="E587" s="29"/>
      <c r="F587" s="29"/>
      <c r="G587" s="29"/>
      <c r="H587" s="29"/>
      <c r="I587" s="25" t="str">
        <f t="shared" si="90"/>
        <v/>
      </c>
      <c r="J587" s="29"/>
      <c r="K587" s="25" t="str">
        <f t="shared" si="91"/>
        <v/>
      </c>
      <c r="L587" s="26" t="str">
        <f t="shared" si="92"/>
        <v/>
      </c>
      <c r="M587" s="29"/>
      <c r="N587" s="29"/>
      <c r="O587" s="29"/>
      <c r="P587" s="29"/>
      <c r="Q587" s="29"/>
      <c r="R587" s="29"/>
      <c r="S587" s="29"/>
      <c r="T587" s="29"/>
      <c r="U587" s="26" t="str">
        <f t="shared" si="93"/>
        <v/>
      </c>
      <c r="V587" s="26"/>
      <c r="W587" s="26" t="str">
        <f t="shared" si="94"/>
        <v/>
      </c>
      <c r="X587" s="26" t="str">
        <f t="shared" si="95"/>
        <v/>
      </c>
      <c r="Y587" s="26" t="str">
        <f t="shared" si="96"/>
        <v/>
      </c>
      <c r="Z587" s="26" t="str">
        <f t="shared" si="97"/>
        <v/>
      </c>
      <c r="AA587" s="26" t="str">
        <f t="shared" si="98"/>
        <v/>
      </c>
      <c r="AB587" s="5" t="str">
        <f t="shared" si="99"/>
        <v/>
      </c>
    </row>
    <row r="588" spans="1:28" ht="12" customHeight="1">
      <c r="A588" s="22">
        <v>596</v>
      </c>
      <c r="B588" s="30"/>
      <c r="C588" s="30"/>
      <c r="D588" s="29"/>
      <c r="E588" s="29"/>
      <c r="F588" s="29"/>
      <c r="G588" s="29"/>
      <c r="H588" s="29"/>
      <c r="I588" s="25" t="str">
        <f t="shared" si="90"/>
        <v/>
      </c>
      <c r="J588" s="29"/>
      <c r="K588" s="25" t="str">
        <f t="shared" si="91"/>
        <v/>
      </c>
      <c r="L588" s="26" t="str">
        <f t="shared" si="92"/>
        <v/>
      </c>
      <c r="M588" s="29"/>
      <c r="N588" s="29"/>
      <c r="O588" s="29"/>
      <c r="P588" s="29"/>
      <c r="Q588" s="29"/>
      <c r="R588" s="29"/>
      <c r="S588" s="29"/>
      <c r="T588" s="29"/>
      <c r="U588" s="26" t="str">
        <f t="shared" si="93"/>
        <v/>
      </c>
      <c r="V588" s="26"/>
      <c r="W588" s="26" t="str">
        <f t="shared" si="94"/>
        <v/>
      </c>
      <c r="X588" s="26" t="str">
        <f t="shared" si="95"/>
        <v/>
      </c>
      <c r="Y588" s="26" t="str">
        <f t="shared" si="96"/>
        <v/>
      </c>
      <c r="Z588" s="26" t="str">
        <f t="shared" si="97"/>
        <v/>
      </c>
      <c r="AA588" s="26" t="str">
        <f t="shared" si="98"/>
        <v/>
      </c>
      <c r="AB588" s="5" t="str">
        <f t="shared" si="99"/>
        <v/>
      </c>
    </row>
    <row r="589" spans="1:28" ht="12" customHeight="1">
      <c r="A589" s="22">
        <v>597</v>
      </c>
      <c r="B589" s="30"/>
      <c r="C589" s="30"/>
      <c r="D589" s="29"/>
      <c r="E589" s="29"/>
      <c r="F589" s="29"/>
      <c r="G589" s="29"/>
      <c r="H589" s="29"/>
      <c r="I589" s="25" t="str">
        <f t="shared" si="90"/>
        <v/>
      </c>
      <c r="J589" s="29"/>
      <c r="K589" s="25" t="str">
        <f t="shared" si="91"/>
        <v/>
      </c>
      <c r="L589" s="26" t="str">
        <f t="shared" si="92"/>
        <v/>
      </c>
      <c r="M589" s="29"/>
      <c r="N589" s="29"/>
      <c r="O589" s="29"/>
      <c r="P589" s="29"/>
      <c r="Q589" s="29"/>
      <c r="R589" s="29"/>
      <c r="S589" s="29"/>
      <c r="T589" s="29"/>
      <c r="U589" s="26" t="str">
        <f t="shared" si="93"/>
        <v/>
      </c>
      <c r="V589" s="26"/>
      <c r="W589" s="26" t="str">
        <f t="shared" si="94"/>
        <v/>
      </c>
      <c r="X589" s="26" t="str">
        <f t="shared" si="95"/>
        <v/>
      </c>
      <c r="Y589" s="26" t="str">
        <f t="shared" si="96"/>
        <v/>
      </c>
      <c r="Z589" s="26" t="str">
        <f t="shared" si="97"/>
        <v/>
      </c>
      <c r="AA589" s="26" t="str">
        <f t="shared" si="98"/>
        <v/>
      </c>
      <c r="AB589" s="5" t="str">
        <f t="shared" si="99"/>
        <v/>
      </c>
    </row>
    <row r="590" spans="1:28" ht="12" customHeight="1">
      <c r="A590" s="22">
        <v>598</v>
      </c>
      <c r="B590" s="30"/>
      <c r="C590" s="30"/>
      <c r="D590" s="29"/>
      <c r="E590" s="29"/>
      <c r="F590" s="29"/>
      <c r="G590" s="29"/>
      <c r="H590" s="29"/>
      <c r="I590" s="25" t="str">
        <f t="shared" si="90"/>
        <v/>
      </c>
      <c r="J590" s="29"/>
      <c r="K590" s="25" t="str">
        <f t="shared" si="91"/>
        <v/>
      </c>
      <c r="L590" s="26" t="str">
        <f t="shared" si="92"/>
        <v/>
      </c>
      <c r="M590" s="29"/>
      <c r="N590" s="29"/>
      <c r="O590" s="29"/>
      <c r="P590" s="29"/>
      <c r="Q590" s="29"/>
      <c r="R590" s="29"/>
      <c r="S590" s="29"/>
      <c r="T590" s="29"/>
      <c r="U590" s="26" t="str">
        <f t="shared" si="93"/>
        <v/>
      </c>
      <c r="V590" s="26"/>
      <c r="W590" s="26" t="str">
        <f t="shared" si="94"/>
        <v/>
      </c>
      <c r="X590" s="26" t="str">
        <f t="shared" si="95"/>
        <v/>
      </c>
      <c r="Y590" s="26" t="str">
        <f t="shared" si="96"/>
        <v/>
      </c>
      <c r="Z590" s="26" t="str">
        <f t="shared" si="97"/>
        <v/>
      </c>
      <c r="AA590" s="26" t="str">
        <f t="shared" si="98"/>
        <v/>
      </c>
      <c r="AB590" s="5" t="str">
        <f t="shared" si="99"/>
        <v/>
      </c>
    </row>
    <row r="591" spans="1:28" ht="12" customHeight="1">
      <c r="A591" s="22">
        <v>599</v>
      </c>
      <c r="B591" s="30"/>
      <c r="C591" s="30"/>
      <c r="D591" s="29"/>
      <c r="E591" s="29"/>
      <c r="F591" s="29"/>
      <c r="G591" s="29"/>
      <c r="H591" s="29"/>
      <c r="I591" s="25" t="str">
        <f t="shared" si="90"/>
        <v/>
      </c>
      <c r="J591" s="29"/>
      <c r="K591" s="25" t="str">
        <f t="shared" si="91"/>
        <v/>
      </c>
      <c r="L591" s="26" t="str">
        <f t="shared" si="92"/>
        <v/>
      </c>
      <c r="M591" s="29"/>
      <c r="N591" s="29"/>
      <c r="O591" s="29"/>
      <c r="P591" s="29"/>
      <c r="Q591" s="29"/>
      <c r="R591" s="29"/>
      <c r="S591" s="29"/>
      <c r="T591" s="29"/>
      <c r="U591" s="26" t="str">
        <f t="shared" si="93"/>
        <v/>
      </c>
      <c r="V591" s="26"/>
      <c r="W591" s="26" t="str">
        <f t="shared" si="94"/>
        <v/>
      </c>
      <c r="X591" s="26" t="str">
        <f t="shared" si="95"/>
        <v/>
      </c>
      <c r="Y591" s="26" t="str">
        <f t="shared" si="96"/>
        <v/>
      </c>
      <c r="Z591" s="26" t="str">
        <f t="shared" si="97"/>
        <v/>
      </c>
      <c r="AA591" s="26" t="str">
        <f t="shared" si="98"/>
        <v/>
      </c>
      <c r="AB591" s="5" t="str">
        <f t="shared" si="99"/>
        <v/>
      </c>
    </row>
    <row r="592" spans="1:28" ht="12" customHeight="1">
      <c r="A592" s="22">
        <v>600</v>
      </c>
      <c r="B592" s="30"/>
      <c r="C592" s="30"/>
      <c r="D592" s="29"/>
      <c r="E592" s="29"/>
      <c r="F592" s="29"/>
      <c r="G592" s="29"/>
      <c r="H592" s="29"/>
      <c r="I592" s="25" t="str">
        <f t="shared" si="90"/>
        <v/>
      </c>
      <c r="J592" s="29"/>
      <c r="K592" s="25" t="str">
        <f t="shared" si="91"/>
        <v/>
      </c>
      <c r="L592" s="26" t="str">
        <f t="shared" si="92"/>
        <v/>
      </c>
      <c r="M592" s="29"/>
      <c r="N592" s="29"/>
      <c r="O592" s="29"/>
      <c r="P592" s="29"/>
      <c r="Q592" s="29"/>
      <c r="R592" s="29"/>
      <c r="S592" s="29"/>
      <c r="T592" s="29"/>
      <c r="U592" s="26" t="str">
        <f t="shared" si="93"/>
        <v/>
      </c>
      <c r="V592" s="26"/>
      <c r="W592" s="26" t="str">
        <f t="shared" si="94"/>
        <v/>
      </c>
      <c r="X592" s="26" t="str">
        <f t="shared" si="95"/>
        <v/>
      </c>
      <c r="Y592" s="26" t="str">
        <f t="shared" si="96"/>
        <v/>
      </c>
      <c r="Z592" s="26" t="str">
        <f t="shared" si="97"/>
        <v/>
      </c>
      <c r="AA592" s="26" t="str">
        <f t="shared" si="98"/>
        <v/>
      </c>
      <c r="AB592" s="5" t="str">
        <f t="shared" si="99"/>
        <v/>
      </c>
    </row>
    <row r="593" spans="1:28" ht="12" customHeight="1">
      <c r="A593" s="22">
        <v>601</v>
      </c>
      <c r="B593" s="30"/>
      <c r="C593" s="30"/>
      <c r="D593" s="29"/>
      <c r="E593" s="29"/>
      <c r="F593" s="29"/>
      <c r="G593" s="29"/>
      <c r="H593" s="29"/>
      <c r="I593" s="25" t="str">
        <f t="shared" si="90"/>
        <v/>
      </c>
      <c r="J593" s="29"/>
      <c r="K593" s="25" t="str">
        <f t="shared" si="91"/>
        <v/>
      </c>
      <c r="L593" s="26" t="str">
        <f t="shared" si="92"/>
        <v/>
      </c>
      <c r="M593" s="29"/>
      <c r="N593" s="29"/>
      <c r="O593" s="29"/>
      <c r="P593" s="29"/>
      <c r="Q593" s="29"/>
      <c r="R593" s="29"/>
      <c r="S593" s="29"/>
      <c r="T593" s="29"/>
      <c r="U593" s="26" t="str">
        <f t="shared" si="93"/>
        <v/>
      </c>
      <c r="V593" s="26"/>
      <c r="W593" s="26" t="str">
        <f t="shared" si="94"/>
        <v/>
      </c>
      <c r="X593" s="26" t="str">
        <f t="shared" si="95"/>
        <v/>
      </c>
      <c r="Y593" s="26" t="str">
        <f t="shared" si="96"/>
        <v/>
      </c>
      <c r="Z593" s="26" t="str">
        <f t="shared" si="97"/>
        <v/>
      </c>
      <c r="AA593" s="26" t="str">
        <f t="shared" si="98"/>
        <v/>
      </c>
      <c r="AB593" s="5" t="str">
        <f t="shared" si="99"/>
        <v/>
      </c>
    </row>
    <row r="594" spans="1:28" ht="12" customHeight="1">
      <c r="A594" s="22">
        <v>602</v>
      </c>
      <c r="B594" s="30"/>
      <c r="C594" s="30"/>
      <c r="D594" s="29"/>
      <c r="E594" s="29"/>
      <c r="F594" s="29"/>
      <c r="G594" s="29"/>
      <c r="H594" s="29"/>
      <c r="I594" s="25" t="str">
        <f t="shared" si="90"/>
        <v/>
      </c>
      <c r="J594" s="29"/>
      <c r="K594" s="25" t="str">
        <f t="shared" si="91"/>
        <v/>
      </c>
      <c r="L594" s="26" t="str">
        <f t="shared" si="92"/>
        <v/>
      </c>
      <c r="M594" s="29"/>
      <c r="N594" s="29"/>
      <c r="O594" s="29"/>
      <c r="P594" s="29"/>
      <c r="Q594" s="29"/>
      <c r="R594" s="29"/>
      <c r="S594" s="29"/>
      <c r="T594" s="29"/>
      <c r="U594" s="26" t="str">
        <f t="shared" si="93"/>
        <v/>
      </c>
      <c r="V594" s="26"/>
      <c r="W594" s="26" t="str">
        <f t="shared" si="94"/>
        <v/>
      </c>
      <c r="X594" s="26" t="str">
        <f t="shared" si="95"/>
        <v/>
      </c>
      <c r="Y594" s="26" t="str">
        <f t="shared" si="96"/>
        <v/>
      </c>
      <c r="Z594" s="26" t="str">
        <f t="shared" si="97"/>
        <v/>
      </c>
      <c r="AA594" s="26" t="str">
        <f t="shared" si="98"/>
        <v/>
      </c>
      <c r="AB594" s="5" t="str">
        <f t="shared" si="99"/>
        <v/>
      </c>
    </row>
    <row r="595" spans="1:28" ht="12" customHeight="1">
      <c r="A595" s="22">
        <v>603</v>
      </c>
      <c r="B595" s="30"/>
      <c r="C595" s="30"/>
      <c r="D595" s="29"/>
      <c r="E595" s="29"/>
      <c r="F595" s="29"/>
      <c r="G595" s="29"/>
      <c r="H595" s="29"/>
      <c r="I595" s="25" t="str">
        <f t="shared" si="90"/>
        <v/>
      </c>
      <c r="J595" s="29"/>
      <c r="K595" s="25" t="str">
        <f t="shared" si="91"/>
        <v/>
      </c>
      <c r="L595" s="26" t="str">
        <f t="shared" si="92"/>
        <v/>
      </c>
      <c r="M595" s="29"/>
      <c r="N595" s="29"/>
      <c r="O595" s="29"/>
      <c r="P595" s="29"/>
      <c r="Q595" s="29"/>
      <c r="R595" s="29"/>
      <c r="S595" s="29"/>
      <c r="T595" s="29"/>
      <c r="U595" s="26" t="str">
        <f t="shared" si="93"/>
        <v/>
      </c>
      <c r="V595" s="26"/>
      <c r="W595" s="26" t="str">
        <f t="shared" si="94"/>
        <v/>
      </c>
      <c r="X595" s="26" t="str">
        <f t="shared" si="95"/>
        <v/>
      </c>
      <c r="Y595" s="26" t="str">
        <f t="shared" si="96"/>
        <v/>
      </c>
      <c r="Z595" s="26" t="str">
        <f t="shared" si="97"/>
        <v/>
      </c>
      <c r="AA595" s="26" t="str">
        <f t="shared" si="98"/>
        <v/>
      </c>
      <c r="AB595" s="5" t="str">
        <f t="shared" si="99"/>
        <v/>
      </c>
    </row>
    <row r="596" spans="1:28" ht="12" customHeight="1">
      <c r="A596" s="22">
        <v>604</v>
      </c>
      <c r="B596" s="30"/>
      <c r="C596" s="30"/>
      <c r="D596" s="29"/>
      <c r="E596" s="29"/>
      <c r="F596" s="29"/>
      <c r="G596" s="29"/>
      <c r="H596" s="29"/>
      <c r="I596" s="25" t="str">
        <f t="shared" si="90"/>
        <v/>
      </c>
      <c r="J596" s="29"/>
      <c r="K596" s="25" t="str">
        <f t="shared" si="91"/>
        <v/>
      </c>
      <c r="L596" s="26" t="str">
        <f t="shared" si="92"/>
        <v/>
      </c>
      <c r="M596" s="29"/>
      <c r="N596" s="29"/>
      <c r="O596" s="29"/>
      <c r="P596" s="29"/>
      <c r="Q596" s="29"/>
      <c r="R596" s="29"/>
      <c r="S596" s="29"/>
      <c r="T596" s="29"/>
      <c r="U596" s="26" t="str">
        <f t="shared" si="93"/>
        <v/>
      </c>
      <c r="V596" s="26"/>
      <c r="W596" s="26" t="str">
        <f t="shared" si="94"/>
        <v/>
      </c>
      <c r="X596" s="26" t="str">
        <f t="shared" si="95"/>
        <v/>
      </c>
      <c r="Y596" s="26" t="str">
        <f t="shared" si="96"/>
        <v/>
      </c>
      <c r="Z596" s="26" t="str">
        <f t="shared" si="97"/>
        <v/>
      </c>
      <c r="AA596" s="26" t="str">
        <f t="shared" si="98"/>
        <v/>
      </c>
      <c r="AB596" s="5" t="str">
        <f t="shared" si="99"/>
        <v/>
      </c>
    </row>
    <row r="597" spans="1:28" ht="12" customHeight="1">
      <c r="A597" s="22">
        <v>605</v>
      </c>
      <c r="B597" s="30"/>
      <c r="C597" s="30"/>
      <c r="D597" s="29"/>
      <c r="E597" s="29"/>
      <c r="F597" s="29"/>
      <c r="G597" s="29"/>
      <c r="H597" s="29"/>
      <c r="I597" s="25" t="str">
        <f t="shared" si="90"/>
        <v/>
      </c>
      <c r="J597" s="29"/>
      <c r="K597" s="25" t="str">
        <f t="shared" si="91"/>
        <v/>
      </c>
      <c r="L597" s="26" t="str">
        <f t="shared" si="92"/>
        <v/>
      </c>
      <c r="M597" s="29"/>
      <c r="N597" s="29"/>
      <c r="O597" s="29"/>
      <c r="P597" s="29"/>
      <c r="Q597" s="29"/>
      <c r="R597" s="29"/>
      <c r="S597" s="29"/>
      <c r="T597" s="29"/>
      <c r="U597" s="26" t="str">
        <f t="shared" si="93"/>
        <v/>
      </c>
      <c r="V597" s="26"/>
      <c r="W597" s="26" t="str">
        <f t="shared" si="94"/>
        <v/>
      </c>
      <c r="X597" s="26" t="str">
        <f t="shared" si="95"/>
        <v/>
      </c>
      <c r="Y597" s="26" t="str">
        <f t="shared" si="96"/>
        <v/>
      </c>
      <c r="Z597" s="26" t="str">
        <f t="shared" si="97"/>
        <v/>
      </c>
      <c r="AA597" s="26" t="str">
        <f t="shared" si="98"/>
        <v/>
      </c>
      <c r="AB597" s="5" t="str">
        <f t="shared" si="99"/>
        <v/>
      </c>
    </row>
    <row r="598" spans="1:28" ht="12" customHeight="1">
      <c r="A598" s="22">
        <v>606</v>
      </c>
      <c r="B598" s="30"/>
      <c r="C598" s="30"/>
      <c r="D598" s="29"/>
      <c r="E598" s="29"/>
      <c r="F598" s="29"/>
      <c r="G598" s="29"/>
      <c r="H598" s="29"/>
      <c r="I598" s="25" t="str">
        <f t="shared" si="90"/>
        <v/>
      </c>
      <c r="J598" s="29"/>
      <c r="K598" s="25" t="str">
        <f t="shared" si="91"/>
        <v/>
      </c>
      <c r="L598" s="26" t="str">
        <f t="shared" si="92"/>
        <v/>
      </c>
      <c r="M598" s="29"/>
      <c r="N598" s="29"/>
      <c r="O598" s="29"/>
      <c r="P598" s="29"/>
      <c r="Q598" s="29"/>
      <c r="R598" s="29"/>
      <c r="S598" s="29"/>
      <c r="T598" s="29"/>
      <c r="U598" s="26" t="str">
        <f t="shared" si="93"/>
        <v/>
      </c>
      <c r="V598" s="26"/>
      <c r="W598" s="26" t="str">
        <f t="shared" si="94"/>
        <v/>
      </c>
      <c r="X598" s="26" t="str">
        <f t="shared" si="95"/>
        <v/>
      </c>
      <c r="Y598" s="26" t="str">
        <f t="shared" si="96"/>
        <v/>
      </c>
      <c r="Z598" s="26" t="str">
        <f t="shared" si="97"/>
        <v/>
      </c>
      <c r="AA598" s="26" t="str">
        <f t="shared" si="98"/>
        <v/>
      </c>
      <c r="AB598" s="5" t="str">
        <f t="shared" si="99"/>
        <v/>
      </c>
    </row>
    <row r="599" spans="1:28" ht="12" customHeight="1">
      <c r="A599" s="22">
        <v>607</v>
      </c>
      <c r="B599" s="30"/>
      <c r="C599" s="30"/>
      <c r="D599" s="29"/>
      <c r="E599" s="29"/>
      <c r="F599" s="29"/>
      <c r="G599" s="29"/>
      <c r="H599" s="29"/>
      <c r="I599" s="25" t="str">
        <f t="shared" si="90"/>
        <v/>
      </c>
      <c r="J599" s="29"/>
      <c r="K599" s="25" t="str">
        <f t="shared" si="91"/>
        <v/>
      </c>
      <c r="L599" s="26" t="str">
        <f t="shared" si="92"/>
        <v/>
      </c>
      <c r="M599" s="29"/>
      <c r="N599" s="29"/>
      <c r="O599" s="29"/>
      <c r="P599" s="29"/>
      <c r="Q599" s="29"/>
      <c r="R599" s="29"/>
      <c r="S599" s="29"/>
      <c r="T599" s="29"/>
      <c r="U599" s="26" t="str">
        <f t="shared" si="93"/>
        <v/>
      </c>
      <c r="V599" s="26"/>
      <c r="W599" s="26" t="str">
        <f t="shared" si="94"/>
        <v/>
      </c>
      <c r="X599" s="26" t="str">
        <f t="shared" si="95"/>
        <v/>
      </c>
      <c r="Y599" s="26" t="str">
        <f t="shared" si="96"/>
        <v/>
      </c>
      <c r="Z599" s="26" t="str">
        <f t="shared" si="97"/>
        <v/>
      </c>
      <c r="AA599" s="26" t="str">
        <f t="shared" si="98"/>
        <v/>
      </c>
      <c r="AB599" s="5" t="str">
        <f t="shared" si="99"/>
        <v/>
      </c>
    </row>
    <row r="600" spans="1:28" ht="12" customHeight="1">
      <c r="A600" s="22">
        <v>608</v>
      </c>
      <c r="B600" s="30"/>
      <c r="C600" s="30"/>
      <c r="D600" s="29"/>
      <c r="E600" s="29"/>
      <c r="F600" s="29"/>
      <c r="G600" s="29"/>
      <c r="H600" s="29"/>
      <c r="I600" s="25" t="str">
        <f t="shared" si="90"/>
        <v/>
      </c>
      <c r="J600" s="29"/>
      <c r="K600" s="25" t="str">
        <f t="shared" si="91"/>
        <v/>
      </c>
      <c r="L600" s="26" t="str">
        <f t="shared" si="92"/>
        <v/>
      </c>
      <c r="M600" s="29"/>
      <c r="N600" s="29"/>
      <c r="O600" s="29"/>
      <c r="P600" s="29"/>
      <c r="Q600" s="29"/>
      <c r="R600" s="29"/>
      <c r="S600" s="29"/>
      <c r="T600" s="29"/>
      <c r="U600" s="26" t="str">
        <f t="shared" si="93"/>
        <v/>
      </c>
      <c r="V600" s="26"/>
      <c r="W600" s="26" t="str">
        <f t="shared" si="94"/>
        <v/>
      </c>
      <c r="X600" s="26" t="str">
        <f t="shared" si="95"/>
        <v/>
      </c>
      <c r="Y600" s="26" t="str">
        <f t="shared" si="96"/>
        <v/>
      </c>
      <c r="Z600" s="26" t="str">
        <f t="shared" si="97"/>
        <v/>
      </c>
      <c r="AA600" s="26" t="str">
        <f t="shared" si="98"/>
        <v/>
      </c>
      <c r="AB600" s="5" t="str">
        <f t="shared" si="99"/>
        <v/>
      </c>
    </row>
    <row r="601" spans="1:28" ht="12" customHeight="1">
      <c r="A601" s="22">
        <v>609</v>
      </c>
      <c r="B601" s="30"/>
      <c r="C601" s="30"/>
      <c r="D601" s="29"/>
      <c r="E601" s="29"/>
      <c r="F601" s="29"/>
      <c r="G601" s="29"/>
      <c r="H601" s="29"/>
      <c r="I601" s="25" t="str">
        <f t="shared" si="90"/>
        <v/>
      </c>
      <c r="J601" s="29"/>
      <c r="K601" s="25" t="str">
        <f t="shared" si="91"/>
        <v/>
      </c>
      <c r="L601" s="26" t="str">
        <f t="shared" si="92"/>
        <v/>
      </c>
      <c r="M601" s="29"/>
      <c r="N601" s="29"/>
      <c r="O601" s="29"/>
      <c r="P601" s="29"/>
      <c r="Q601" s="29"/>
      <c r="R601" s="29"/>
      <c r="S601" s="29"/>
      <c r="T601" s="29"/>
      <c r="U601" s="26" t="str">
        <f t="shared" si="93"/>
        <v/>
      </c>
      <c r="V601" s="26"/>
      <c r="W601" s="26" t="str">
        <f t="shared" si="94"/>
        <v/>
      </c>
      <c r="X601" s="26" t="str">
        <f t="shared" si="95"/>
        <v/>
      </c>
      <c r="Y601" s="26" t="str">
        <f t="shared" si="96"/>
        <v/>
      </c>
      <c r="Z601" s="26" t="str">
        <f t="shared" si="97"/>
        <v/>
      </c>
      <c r="AA601" s="26" t="str">
        <f t="shared" si="98"/>
        <v/>
      </c>
      <c r="AB601" s="5" t="str">
        <f t="shared" si="99"/>
        <v/>
      </c>
    </row>
    <row r="602" spans="1:28" ht="12" customHeight="1">
      <c r="A602" s="22">
        <v>610</v>
      </c>
      <c r="B602" s="30"/>
      <c r="C602" s="30"/>
      <c r="D602" s="29"/>
      <c r="E602" s="29"/>
      <c r="F602" s="29"/>
      <c r="G602" s="29"/>
      <c r="H602" s="29"/>
      <c r="I602" s="25" t="str">
        <f t="shared" si="90"/>
        <v/>
      </c>
      <c r="J602" s="29"/>
      <c r="K602" s="25" t="str">
        <f t="shared" si="91"/>
        <v/>
      </c>
      <c r="L602" s="26" t="str">
        <f t="shared" si="92"/>
        <v/>
      </c>
      <c r="M602" s="29"/>
      <c r="N602" s="29"/>
      <c r="O602" s="29"/>
      <c r="P602" s="29"/>
      <c r="Q602" s="29"/>
      <c r="R602" s="29"/>
      <c r="S602" s="29"/>
      <c r="T602" s="29"/>
      <c r="U602" s="26" t="str">
        <f t="shared" si="93"/>
        <v/>
      </c>
      <c r="V602" s="26"/>
      <c r="W602" s="26" t="str">
        <f t="shared" si="94"/>
        <v/>
      </c>
      <c r="X602" s="26" t="str">
        <f t="shared" si="95"/>
        <v/>
      </c>
      <c r="Y602" s="26" t="str">
        <f t="shared" si="96"/>
        <v/>
      </c>
      <c r="Z602" s="26" t="str">
        <f t="shared" si="97"/>
        <v/>
      </c>
      <c r="AA602" s="26" t="str">
        <f t="shared" si="98"/>
        <v/>
      </c>
      <c r="AB602" s="5" t="str">
        <f t="shared" si="99"/>
        <v/>
      </c>
    </row>
    <row r="603" spans="1:28" ht="12" customHeight="1">
      <c r="A603" s="22">
        <v>611</v>
      </c>
      <c r="B603" s="30"/>
      <c r="C603" s="30"/>
      <c r="D603" s="29"/>
      <c r="E603" s="29"/>
      <c r="F603" s="29"/>
      <c r="G603" s="29"/>
      <c r="H603" s="29"/>
      <c r="I603" s="25" t="str">
        <f t="shared" si="90"/>
        <v/>
      </c>
      <c r="J603" s="29"/>
      <c r="K603" s="25" t="str">
        <f t="shared" si="91"/>
        <v/>
      </c>
      <c r="L603" s="26" t="str">
        <f t="shared" si="92"/>
        <v/>
      </c>
      <c r="M603" s="29"/>
      <c r="N603" s="29"/>
      <c r="O603" s="29"/>
      <c r="P603" s="29"/>
      <c r="Q603" s="29"/>
      <c r="R603" s="29"/>
      <c r="S603" s="29"/>
      <c r="T603" s="29"/>
      <c r="U603" s="26" t="str">
        <f t="shared" si="93"/>
        <v/>
      </c>
      <c r="V603" s="26"/>
      <c r="W603" s="26" t="str">
        <f t="shared" si="94"/>
        <v/>
      </c>
      <c r="X603" s="26" t="str">
        <f t="shared" si="95"/>
        <v/>
      </c>
      <c r="Y603" s="26" t="str">
        <f t="shared" si="96"/>
        <v/>
      </c>
      <c r="Z603" s="26" t="str">
        <f t="shared" si="97"/>
        <v/>
      </c>
      <c r="AA603" s="26" t="str">
        <f t="shared" si="98"/>
        <v/>
      </c>
      <c r="AB603" s="5" t="str">
        <f t="shared" si="99"/>
        <v/>
      </c>
    </row>
    <row r="604" spans="1:28" ht="12" customHeight="1">
      <c r="A604" s="22">
        <v>612</v>
      </c>
      <c r="B604" s="30"/>
      <c r="C604" s="30"/>
      <c r="D604" s="29"/>
      <c r="E604" s="29"/>
      <c r="F604" s="29"/>
      <c r="G604" s="29"/>
      <c r="H604" s="29"/>
      <c r="I604" s="25" t="str">
        <f t="shared" si="90"/>
        <v/>
      </c>
      <c r="J604" s="29"/>
      <c r="K604" s="25" t="str">
        <f t="shared" si="91"/>
        <v/>
      </c>
      <c r="L604" s="26" t="str">
        <f t="shared" si="92"/>
        <v/>
      </c>
      <c r="M604" s="29"/>
      <c r="N604" s="29"/>
      <c r="O604" s="29"/>
      <c r="P604" s="29"/>
      <c r="Q604" s="29"/>
      <c r="R604" s="29"/>
      <c r="S604" s="29"/>
      <c r="T604" s="29"/>
      <c r="U604" s="26" t="str">
        <f t="shared" si="93"/>
        <v/>
      </c>
      <c r="V604" s="26"/>
      <c r="W604" s="26" t="str">
        <f t="shared" si="94"/>
        <v/>
      </c>
      <c r="X604" s="26" t="str">
        <f t="shared" si="95"/>
        <v/>
      </c>
      <c r="Y604" s="26" t="str">
        <f t="shared" si="96"/>
        <v/>
      </c>
      <c r="Z604" s="26" t="str">
        <f t="shared" si="97"/>
        <v/>
      </c>
      <c r="AA604" s="26" t="str">
        <f t="shared" si="98"/>
        <v/>
      </c>
      <c r="AB604" s="5" t="str">
        <f t="shared" si="99"/>
        <v/>
      </c>
    </row>
    <row r="605" spans="1:28" ht="12" customHeight="1">
      <c r="A605" s="22">
        <v>613</v>
      </c>
      <c r="B605" s="30"/>
      <c r="C605" s="30"/>
      <c r="D605" s="29"/>
      <c r="E605" s="29"/>
      <c r="F605" s="29"/>
      <c r="G605" s="29"/>
      <c r="H605" s="29"/>
      <c r="I605" s="25" t="str">
        <f t="shared" si="90"/>
        <v/>
      </c>
      <c r="J605" s="29"/>
      <c r="K605" s="25" t="str">
        <f t="shared" si="91"/>
        <v/>
      </c>
      <c r="L605" s="26" t="str">
        <f t="shared" si="92"/>
        <v/>
      </c>
      <c r="M605" s="29"/>
      <c r="N605" s="29"/>
      <c r="O605" s="29"/>
      <c r="P605" s="29"/>
      <c r="Q605" s="29"/>
      <c r="R605" s="29"/>
      <c r="S605" s="29"/>
      <c r="T605" s="29"/>
      <c r="U605" s="26" t="str">
        <f t="shared" si="93"/>
        <v/>
      </c>
      <c r="V605" s="26"/>
      <c r="W605" s="26" t="str">
        <f t="shared" si="94"/>
        <v/>
      </c>
      <c r="X605" s="26" t="str">
        <f t="shared" si="95"/>
        <v/>
      </c>
      <c r="Y605" s="26" t="str">
        <f t="shared" si="96"/>
        <v/>
      </c>
      <c r="Z605" s="26" t="str">
        <f t="shared" si="97"/>
        <v/>
      </c>
      <c r="AA605" s="26" t="str">
        <f t="shared" si="98"/>
        <v/>
      </c>
      <c r="AB605" s="5" t="str">
        <f t="shared" si="99"/>
        <v/>
      </c>
    </row>
    <row r="606" spans="1:28" ht="12" customHeight="1">
      <c r="A606" s="22">
        <v>614</v>
      </c>
      <c r="B606" s="30"/>
      <c r="C606" s="30"/>
      <c r="D606" s="29"/>
      <c r="E606" s="29"/>
      <c r="F606" s="29"/>
      <c r="G606" s="29"/>
      <c r="H606" s="29"/>
      <c r="I606" s="25" t="str">
        <f t="shared" si="90"/>
        <v/>
      </c>
      <c r="J606" s="29"/>
      <c r="K606" s="25" t="str">
        <f t="shared" si="91"/>
        <v/>
      </c>
      <c r="L606" s="26" t="str">
        <f t="shared" si="92"/>
        <v/>
      </c>
      <c r="M606" s="29"/>
      <c r="N606" s="29"/>
      <c r="O606" s="29"/>
      <c r="P606" s="29"/>
      <c r="Q606" s="29"/>
      <c r="R606" s="29"/>
      <c r="S606" s="29"/>
      <c r="T606" s="29"/>
      <c r="U606" s="26" t="str">
        <f t="shared" si="93"/>
        <v/>
      </c>
      <c r="V606" s="26"/>
      <c r="W606" s="26" t="str">
        <f t="shared" si="94"/>
        <v/>
      </c>
      <c r="X606" s="26" t="str">
        <f t="shared" si="95"/>
        <v/>
      </c>
      <c r="Y606" s="26" t="str">
        <f t="shared" si="96"/>
        <v/>
      </c>
      <c r="Z606" s="26" t="str">
        <f t="shared" si="97"/>
        <v/>
      </c>
      <c r="AA606" s="26" t="str">
        <f t="shared" si="98"/>
        <v/>
      </c>
      <c r="AB606" s="5" t="str">
        <f t="shared" si="99"/>
        <v/>
      </c>
    </row>
    <row r="607" spans="1:28" ht="12" customHeight="1">
      <c r="A607" s="22">
        <v>615</v>
      </c>
      <c r="B607" s="30"/>
      <c r="C607" s="30"/>
      <c r="D607" s="29"/>
      <c r="E607" s="29"/>
      <c r="F607" s="29"/>
      <c r="G607" s="29"/>
      <c r="H607" s="29"/>
      <c r="I607" s="25" t="str">
        <f t="shared" si="90"/>
        <v/>
      </c>
      <c r="J607" s="29"/>
      <c r="K607" s="25" t="str">
        <f t="shared" si="91"/>
        <v/>
      </c>
      <c r="L607" s="26" t="str">
        <f t="shared" si="92"/>
        <v/>
      </c>
      <c r="M607" s="29"/>
      <c r="N607" s="29"/>
      <c r="O607" s="29"/>
      <c r="P607" s="29"/>
      <c r="Q607" s="29"/>
      <c r="R607" s="29"/>
      <c r="S607" s="29"/>
      <c r="T607" s="29"/>
      <c r="U607" s="26" t="str">
        <f t="shared" si="93"/>
        <v/>
      </c>
      <c r="V607" s="26"/>
      <c r="W607" s="26" t="str">
        <f t="shared" si="94"/>
        <v/>
      </c>
      <c r="X607" s="26" t="str">
        <f t="shared" si="95"/>
        <v/>
      </c>
      <c r="Y607" s="26" t="str">
        <f t="shared" si="96"/>
        <v/>
      </c>
      <c r="Z607" s="26" t="str">
        <f t="shared" si="97"/>
        <v/>
      </c>
      <c r="AA607" s="26" t="str">
        <f t="shared" si="98"/>
        <v/>
      </c>
      <c r="AB607" s="5" t="str">
        <f t="shared" si="99"/>
        <v/>
      </c>
    </row>
    <row r="608" spans="1:28" ht="12" customHeight="1">
      <c r="A608" s="22">
        <v>616</v>
      </c>
      <c r="B608" s="30"/>
      <c r="C608" s="30"/>
      <c r="D608" s="29"/>
      <c r="E608" s="29"/>
      <c r="F608" s="29"/>
      <c r="G608" s="29"/>
      <c r="H608" s="29"/>
      <c r="I608" s="25" t="str">
        <f t="shared" si="90"/>
        <v/>
      </c>
      <c r="J608" s="29"/>
      <c r="K608" s="25" t="str">
        <f t="shared" si="91"/>
        <v/>
      </c>
      <c r="L608" s="26" t="str">
        <f t="shared" si="92"/>
        <v/>
      </c>
      <c r="M608" s="29"/>
      <c r="N608" s="29"/>
      <c r="O608" s="29"/>
      <c r="P608" s="29"/>
      <c r="Q608" s="29"/>
      <c r="R608" s="29"/>
      <c r="S608" s="29"/>
      <c r="T608" s="29"/>
      <c r="U608" s="26" t="str">
        <f t="shared" si="93"/>
        <v/>
      </c>
      <c r="V608" s="26"/>
      <c r="W608" s="26" t="str">
        <f t="shared" si="94"/>
        <v/>
      </c>
      <c r="X608" s="26" t="str">
        <f t="shared" si="95"/>
        <v/>
      </c>
      <c r="Y608" s="26" t="str">
        <f t="shared" si="96"/>
        <v/>
      </c>
      <c r="Z608" s="26" t="str">
        <f t="shared" si="97"/>
        <v/>
      </c>
      <c r="AA608" s="26" t="str">
        <f t="shared" si="98"/>
        <v/>
      </c>
      <c r="AB608" s="5" t="str">
        <f t="shared" si="99"/>
        <v/>
      </c>
    </row>
    <row r="609" spans="1:28" ht="12" customHeight="1">
      <c r="A609" s="22">
        <v>617</v>
      </c>
      <c r="B609" s="30"/>
      <c r="C609" s="30"/>
      <c r="D609" s="29"/>
      <c r="E609" s="29"/>
      <c r="F609" s="29"/>
      <c r="G609" s="29"/>
      <c r="H609" s="29"/>
      <c r="I609" s="25" t="str">
        <f t="shared" si="90"/>
        <v/>
      </c>
      <c r="J609" s="29"/>
      <c r="K609" s="25" t="str">
        <f t="shared" si="91"/>
        <v/>
      </c>
      <c r="L609" s="26" t="str">
        <f t="shared" si="92"/>
        <v/>
      </c>
      <c r="M609" s="29"/>
      <c r="N609" s="29"/>
      <c r="O609" s="29"/>
      <c r="P609" s="29"/>
      <c r="Q609" s="29"/>
      <c r="R609" s="29"/>
      <c r="S609" s="29"/>
      <c r="T609" s="29"/>
      <c r="U609" s="26" t="str">
        <f t="shared" si="93"/>
        <v/>
      </c>
      <c r="V609" s="26"/>
      <c r="W609" s="26" t="str">
        <f t="shared" si="94"/>
        <v/>
      </c>
      <c r="X609" s="26" t="str">
        <f t="shared" si="95"/>
        <v/>
      </c>
      <c r="Y609" s="26" t="str">
        <f t="shared" si="96"/>
        <v/>
      </c>
      <c r="Z609" s="26" t="str">
        <f t="shared" si="97"/>
        <v/>
      </c>
      <c r="AA609" s="26" t="str">
        <f t="shared" si="98"/>
        <v/>
      </c>
      <c r="AB609" s="5" t="str">
        <f t="shared" si="99"/>
        <v/>
      </c>
    </row>
    <row r="610" spans="1:28" ht="12" customHeight="1">
      <c r="A610" s="22">
        <v>618</v>
      </c>
      <c r="B610" s="30"/>
      <c r="C610" s="30"/>
      <c r="D610" s="29"/>
      <c r="E610" s="29"/>
      <c r="F610" s="29"/>
      <c r="G610" s="29"/>
      <c r="H610" s="29"/>
      <c r="I610" s="25" t="str">
        <f t="shared" si="90"/>
        <v/>
      </c>
      <c r="J610" s="29"/>
      <c r="K610" s="25" t="str">
        <f t="shared" si="91"/>
        <v/>
      </c>
      <c r="L610" s="26" t="str">
        <f t="shared" si="92"/>
        <v/>
      </c>
      <c r="M610" s="29"/>
      <c r="N610" s="29"/>
      <c r="O610" s="29"/>
      <c r="P610" s="29"/>
      <c r="Q610" s="29"/>
      <c r="R610" s="29"/>
      <c r="S610" s="29"/>
      <c r="T610" s="29"/>
      <c r="U610" s="26" t="str">
        <f t="shared" si="93"/>
        <v/>
      </c>
      <c r="V610" s="26"/>
      <c r="W610" s="26" t="str">
        <f t="shared" si="94"/>
        <v/>
      </c>
      <c r="X610" s="26" t="str">
        <f t="shared" si="95"/>
        <v/>
      </c>
      <c r="Y610" s="26" t="str">
        <f t="shared" si="96"/>
        <v/>
      </c>
      <c r="Z610" s="26" t="str">
        <f t="shared" si="97"/>
        <v/>
      </c>
      <c r="AA610" s="26" t="str">
        <f t="shared" si="98"/>
        <v/>
      </c>
      <c r="AB610" s="5" t="str">
        <f t="shared" si="99"/>
        <v/>
      </c>
    </row>
    <row r="611" spans="1:28" ht="12" customHeight="1">
      <c r="A611" s="22">
        <v>619</v>
      </c>
      <c r="B611" s="30"/>
      <c r="C611" s="30"/>
      <c r="D611" s="29"/>
      <c r="E611" s="29"/>
      <c r="F611" s="29"/>
      <c r="G611" s="29"/>
      <c r="H611" s="29"/>
      <c r="I611" s="25" t="str">
        <f t="shared" si="90"/>
        <v/>
      </c>
      <c r="J611" s="29"/>
      <c r="K611" s="25" t="str">
        <f t="shared" si="91"/>
        <v/>
      </c>
      <c r="L611" s="26" t="str">
        <f t="shared" si="92"/>
        <v/>
      </c>
      <c r="M611" s="29"/>
      <c r="N611" s="29"/>
      <c r="O611" s="29"/>
      <c r="P611" s="29"/>
      <c r="Q611" s="29"/>
      <c r="R611" s="29"/>
      <c r="S611" s="29"/>
      <c r="T611" s="29"/>
      <c r="U611" s="26" t="str">
        <f t="shared" si="93"/>
        <v/>
      </c>
      <c r="V611" s="26"/>
      <c r="W611" s="26" t="str">
        <f t="shared" si="94"/>
        <v/>
      </c>
      <c r="X611" s="26" t="str">
        <f t="shared" si="95"/>
        <v/>
      </c>
      <c r="Y611" s="26" t="str">
        <f t="shared" si="96"/>
        <v/>
      </c>
      <c r="Z611" s="26" t="str">
        <f t="shared" si="97"/>
        <v/>
      </c>
      <c r="AA611" s="26" t="str">
        <f t="shared" si="98"/>
        <v/>
      </c>
      <c r="AB611" s="5" t="str">
        <f t="shared" si="99"/>
        <v/>
      </c>
    </row>
    <row r="612" spans="1:28" ht="12" customHeight="1">
      <c r="A612" s="22">
        <v>620</v>
      </c>
      <c r="B612" s="30"/>
      <c r="C612" s="30"/>
      <c r="D612" s="29"/>
      <c r="E612" s="29"/>
      <c r="F612" s="29"/>
      <c r="G612" s="29"/>
      <c r="H612" s="29"/>
      <c r="I612" s="25" t="str">
        <f t="shared" si="90"/>
        <v/>
      </c>
      <c r="J612" s="29"/>
      <c r="K612" s="25" t="str">
        <f t="shared" si="91"/>
        <v/>
      </c>
      <c r="L612" s="26" t="str">
        <f t="shared" si="92"/>
        <v/>
      </c>
      <c r="M612" s="29"/>
      <c r="N612" s="29"/>
      <c r="O612" s="29"/>
      <c r="P612" s="29"/>
      <c r="Q612" s="29"/>
      <c r="R612" s="29"/>
      <c r="S612" s="29"/>
      <c r="T612" s="29"/>
      <c r="U612" s="26" t="str">
        <f t="shared" si="93"/>
        <v/>
      </c>
      <c r="V612" s="26"/>
      <c r="W612" s="26" t="str">
        <f t="shared" si="94"/>
        <v/>
      </c>
      <c r="X612" s="26" t="str">
        <f t="shared" si="95"/>
        <v/>
      </c>
      <c r="Y612" s="26" t="str">
        <f t="shared" si="96"/>
        <v/>
      </c>
      <c r="Z612" s="26" t="str">
        <f t="shared" si="97"/>
        <v/>
      </c>
      <c r="AA612" s="26" t="str">
        <f t="shared" si="98"/>
        <v/>
      </c>
      <c r="AB612" s="5" t="str">
        <f t="shared" si="99"/>
        <v/>
      </c>
    </row>
    <row r="613" spans="1:28" ht="12" customHeight="1">
      <c r="A613" s="22">
        <v>621</v>
      </c>
      <c r="B613" s="30"/>
      <c r="C613" s="30"/>
      <c r="D613" s="29"/>
      <c r="E613" s="29"/>
      <c r="F613" s="29"/>
      <c r="G613" s="29"/>
      <c r="H613" s="29"/>
      <c r="I613" s="25" t="str">
        <f t="shared" si="90"/>
        <v/>
      </c>
      <c r="J613" s="29"/>
      <c r="K613" s="25" t="str">
        <f t="shared" si="91"/>
        <v/>
      </c>
      <c r="L613" s="26" t="str">
        <f t="shared" si="92"/>
        <v/>
      </c>
      <c r="M613" s="29"/>
      <c r="N613" s="29"/>
      <c r="O613" s="29"/>
      <c r="P613" s="29"/>
      <c r="Q613" s="29"/>
      <c r="R613" s="29"/>
      <c r="S613" s="29"/>
      <c r="T613" s="29"/>
      <c r="U613" s="26" t="str">
        <f t="shared" si="93"/>
        <v/>
      </c>
      <c r="V613" s="26"/>
      <c r="W613" s="26" t="str">
        <f t="shared" si="94"/>
        <v/>
      </c>
      <c r="X613" s="26" t="str">
        <f t="shared" si="95"/>
        <v/>
      </c>
      <c r="Y613" s="26" t="str">
        <f t="shared" si="96"/>
        <v/>
      </c>
      <c r="Z613" s="26" t="str">
        <f t="shared" si="97"/>
        <v/>
      </c>
      <c r="AA613" s="26" t="str">
        <f t="shared" si="98"/>
        <v/>
      </c>
      <c r="AB613" s="5" t="str">
        <f t="shared" si="99"/>
        <v/>
      </c>
    </row>
    <row r="614" spans="1:28" ht="12" customHeight="1">
      <c r="A614" s="22">
        <v>622</v>
      </c>
      <c r="B614" s="30"/>
      <c r="C614" s="30"/>
      <c r="D614" s="29"/>
      <c r="E614" s="29"/>
      <c r="F614" s="29"/>
      <c r="G614" s="29"/>
      <c r="H614" s="29"/>
      <c r="I614" s="25" t="str">
        <f t="shared" si="90"/>
        <v/>
      </c>
      <c r="J614" s="29"/>
      <c r="K614" s="25" t="str">
        <f t="shared" si="91"/>
        <v/>
      </c>
      <c r="L614" s="26" t="str">
        <f t="shared" si="92"/>
        <v/>
      </c>
      <c r="M614" s="29"/>
      <c r="N614" s="29"/>
      <c r="O614" s="29"/>
      <c r="P614" s="29"/>
      <c r="Q614" s="29"/>
      <c r="R614" s="29"/>
      <c r="S614" s="29"/>
      <c r="T614" s="29"/>
      <c r="U614" s="26" t="str">
        <f t="shared" si="93"/>
        <v/>
      </c>
      <c r="V614" s="26"/>
      <c r="W614" s="26" t="str">
        <f t="shared" si="94"/>
        <v/>
      </c>
      <c r="X614" s="26" t="str">
        <f t="shared" si="95"/>
        <v/>
      </c>
      <c r="Y614" s="26" t="str">
        <f t="shared" si="96"/>
        <v/>
      </c>
      <c r="Z614" s="26" t="str">
        <f t="shared" si="97"/>
        <v/>
      </c>
      <c r="AA614" s="26" t="str">
        <f t="shared" si="98"/>
        <v/>
      </c>
      <c r="AB614" s="5" t="str">
        <f t="shared" si="99"/>
        <v/>
      </c>
    </row>
    <row r="615" spans="1:28" ht="12" customHeight="1">
      <c r="A615" s="22">
        <v>623</v>
      </c>
      <c r="B615" s="30"/>
      <c r="C615" s="30"/>
      <c r="D615" s="29"/>
      <c r="E615" s="29"/>
      <c r="F615" s="29"/>
      <c r="G615" s="29"/>
      <c r="H615" s="29"/>
      <c r="I615" s="25" t="str">
        <f t="shared" si="90"/>
        <v/>
      </c>
      <c r="J615" s="29"/>
      <c r="K615" s="25" t="str">
        <f t="shared" si="91"/>
        <v/>
      </c>
      <c r="L615" s="26" t="str">
        <f t="shared" si="92"/>
        <v/>
      </c>
      <c r="M615" s="29"/>
      <c r="N615" s="29"/>
      <c r="O615" s="29"/>
      <c r="P615" s="29"/>
      <c r="Q615" s="29"/>
      <c r="R615" s="29"/>
      <c r="S615" s="29"/>
      <c r="T615" s="29"/>
      <c r="U615" s="26" t="str">
        <f t="shared" si="93"/>
        <v/>
      </c>
      <c r="V615" s="26"/>
      <c r="W615" s="26" t="str">
        <f t="shared" si="94"/>
        <v/>
      </c>
      <c r="X615" s="26" t="str">
        <f t="shared" si="95"/>
        <v/>
      </c>
      <c r="Y615" s="26" t="str">
        <f t="shared" si="96"/>
        <v/>
      </c>
      <c r="Z615" s="26" t="str">
        <f t="shared" si="97"/>
        <v/>
      </c>
      <c r="AA615" s="26" t="str">
        <f t="shared" si="98"/>
        <v/>
      </c>
      <c r="AB615" s="5" t="str">
        <f t="shared" si="99"/>
        <v/>
      </c>
    </row>
    <row r="616" spans="1:28" ht="12" customHeight="1">
      <c r="A616" s="22">
        <v>624</v>
      </c>
      <c r="B616" s="30"/>
      <c r="C616" s="30"/>
      <c r="D616" s="29"/>
      <c r="E616" s="29"/>
      <c r="F616" s="29"/>
      <c r="G616" s="29"/>
      <c r="H616" s="29"/>
      <c r="I616" s="25" t="str">
        <f t="shared" si="90"/>
        <v/>
      </c>
      <c r="J616" s="29"/>
      <c r="K616" s="25" t="str">
        <f t="shared" si="91"/>
        <v/>
      </c>
      <c r="L616" s="26" t="str">
        <f t="shared" si="92"/>
        <v/>
      </c>
      <c r="M616" s="29"/>
      <c r="N616" s="29"/>
      <c r="O616" s="29"/>
      <c r="P616" s="29"/>
      <c r="Q616" s="29"/>
      <c r="R616" s="29"/>
      <c r="S616" s="29"/>
      <c r="T616" s="29"/>
      <c r="U616" s="26" t="str">
        <f t="shared" si="93"/>
        <v/>
      </c>
      <c r="V616" s="26"/>
      <c r="W616" s="26" t="str">
        <f t="shared" si="94"/>
        <v/>
      </c>
      <c r="X616" s="26" t="str">
        <f t="shared" si="95"/>
        <v/>
      </c>
      <c r="Y616" s="26" t="str">
        <f t="shared" si="96"/>
        <v/>
      </c>
      <c r="Z616" s="26" t="str">
        <f t="shared" si="97"/>
        <v/>
      </c>
      <c r="AA616" s="26" t="str">
        <f t="shared" si="98"/>
        <v/>
      </c>
      <c r="AB616" s="5" t="str">
        <f t="shared" si="99"/>
        <v/>
      </c>
    </row>
    <row r="617" spans="1:28" ht="12" customHeight="1">
      <c r="A617" s="22">
        <v>625</v>
      </c>
      <c r="B617" s="30"/>
      <c r="C617" s="30"/>
      <c r="D617" s="29"/>
      <c r="E617" s="29"/>
      <c r="F617" s="29"/>
      <c r="G617" s="29"/>
      <c r="H617" s="29"/>
      <c r="I617" s="25" t="str">
        <f t="shared" si="90"/>
        <v/>
      </c>
      <c r="J617" s="29"/>
      <c r="K617" s="25" t="str">
        <f t="shared" si="91"/>
        <v/>
      </c>
      <c r="L617" s="26" t="str">
        <f t="shared" si="92"/>
        <v/>
      </c>
      <c r="M617" s="29"/>
      <c r="N617" s="29"/>
      <c r="O617" s="29"/>
      <c r="P617" s="29"/>
      <c r="Q617" s="29"/>
      <c r="R617" s="29"/>
      <c r="S617" s="29"/>
      <c r="T617" s="29"/>
      <c r="U617" s="26" t="str">
        <f t="shared" si="93"/>
        <v/>
      </c>
      <c r="V617" s="26"/>
      <c r="W617" s="26" t="str">
        <f t="shared" si="94"/>
        <v/>
      </c>
      <c r="X617" s="26" t="str">
        <f t="shared" si="95"/>
        <v/>
      </c>
      <c r="Y617" s="26" t="str">
        <f t="shared" si="96"/>
        <v/>
      </c>
      <c r="Z617" s="26" t="str">
        <f t="shared" si="97"/>
        <v/>
      </c>
      <c r="AA617" s="26" t="str">
        <f t="shared" si="98"/>
        <v/>
      </c>
      <c r="AB617" s="5" t="str">
        <f t="shared" si="99"/>
        <v/>
      </c>
    </row>
    <row r="618" spans="1:28" ht="12" customHeight="1">
      <c r="A618" s="22">
        <v>626</v>
      </c>
      <c r="B618" s="30"/>
      <c r="C618" s="30"/>
      <c r="D618" s="29"/>
      <c r="E618" s="29"/>
      <c r="F618" s="29"/>
      <c r="G618" s="29"/>
      <c r="H618" s="29"/>
      <c r="I618" s="25" t="str">
        <f t="shared" si="90"/>
        <v/>
      </c>
      <c r="J618" s="29"/>
      <c r="K618" s="25" t="str">
        <f t="shared" si="91"/>
        <v/>
      </c>
      <c r="L618" s="26" t="str">
        <f t="shared" si="92"/>
        <v/>
      </c>
      <c r="M618" s="29"/>
      <c r="N618" s="29"/>
      <c r="O618" s="29"/>
      <c r="P618" s="29"/>
      <c r="Q618" s="29"/>
      <c r="R618" s="29"/>
      <c r="S618" s="29"/>
      <c r="T618" s="29"/>
      <c r="U618" s="26" t="str">
        <f t="shared" si="93"/>
        <v/>
      </c>
      <c r="V618" s="26"/>
      <c r="W618" s="26" t="str">
        <f t="shared" si="94"/>
        <v/>
      </c>
      <c r="X618" s="26" t="str">
        <f t="shared" si="95"/>
        <v/>
      </c>
      <c r="Y618" s="26" t="str">
        <f t="shared" si="96"/>
        <v/>
      </c>
      <c r="Z618" s="26" t="str">
        <f t="shared" si="97"/>
        <v/>
      </c>
      <c r="AA618" s="26" t="str">
        <f t="shared" si="98"/>
        <v/>
      </c>
      <c r="AB618" s="5" t="str">
        <f t="shared" si="99"/>
        <v/>
      </c>
    </row>
    <row r="619" spans="1:28" ht="12" customHeight="1">
      <c r="A619" s="22">
        <v>627</v>
      </c>
      <c r="B619" s="30"/>
      <c r="C619" s="30"/>
      <c r="D619" s="29"/>
      <c r="E619" s="29"/>
      <c r="F619" s="29"/>
      <c r="G619" s="29"/>
      <c r="H619" s="29"/>
      <c r="I619" s="25" t="str">
        <f t="shared" si="90"/>
        <v/>
      </c>
      <c r="J619" s="29"/>
      <c r="K619" s="25" t="str">
        <f t="shared" si="91"/>
        <v/>
      </c>
      <c r="L619" s="26" t="str">
        <f t="shared" si="92"/>
        <v/>
      </c>
      <c r="M619" s="29"/>
      <c r="N619" s="29"/>
      <c r="O619" s="29"/>
      <c r="P619" s="29"/>
      <c r="Q619" s="29"/>
      <c r="R619" s="29"/>
      <c r="S619" s="29"/>
      <c r="T619" s="29"/>
      <c r="U619" s="26" t="str">
        <f t="shared" si="93"/>
        <v/>
      </c>
      <c r="V619" s="26"/>
      <c r="W619" s="26" t="str">
        <f t="shared" si="94"/>
        <v/>
      </c>
      <c r="X619" s="26" t="str">
        <f t="shared" si="95"/>
        <v/>
      </c>
      <c r="Y619" s="26" t="str">
        <f t="shared" si="96"/>
        <v/>
      </c>
      <c r="Z619" s="26" t="str">
        <f t="shared" si="97"/>
        <v/>
      </c>
      <c r="AA619" s="26" t="str">
        <f t="shared" si="98"/>
        <v/>
      </c>
      <c r="AB619" s="5" t="str">
        <f t="shared" si="99"/>
        <v/>
      </c>
    </row>
    <row r="620" spans="1:28" ht="12" customHeight="1">
      <c r="A620" s="22">
        <v>628</v>
      </c>
      <c r="B620" s="30"/>
      <c r="C620" s="30"/>
      <c r="D620" s="29"/>
      <c r="E620" s="29"/>
      <c r="F620" s="29"/>
      <c r="G620" s="29"/>
      <c r="H620" s="29"/>
      <c r="I620" s="25" t="str">
        <f t="shared" si="90"/>
        <v/>
      </c>
      <c r="J620" s="29"/>
      <c r="K620" s="25" t="str">
        <f t="shared" si="91"/>
        <v/>
      </c>
      <c r="L620" s="26" t="str">
        <f t="shared" si="92"/>
        <v/>
      </c>
      <c r="M620" s="29"/>
      <c r="N620" s="29"/>
      <c r="O620" s="29"/>
      <c r="P620" s="29"/>
      <c r="Q620" s="29"/>
      <c r="R620" s="29"/>
      <c r="S620" s="29"/>
      <c r="T620" s="29"/>
      <c r="U620" s="26" t="str">
        <f t="shared" si="93"/>
        <v/>
      </c>
      <c r="V620" s="26"/>
      <c r="W620" s="26" t="str">
        <f t="shared" si="94"/>
        <v/>
      </c>
      <c r="X620" s="26" t="str">
        <f t="shared" si="95"/>
        <v/>
      </c>
      <c r="Y620" s="26" t="str">
        <f t="shared" si="96"/>
        <v/>
      </c>
      <c r="Z620" s="26" t="str">
        <f t="shared" si="97"/>
        <v/>
      </c>
      <c r="AA620" s="26" t="str">
        <f t="shared" si="98"/>
        <v/>
      </c>
      <c r="AB620" s="5" t="str">
        <f t="shared" si="99"/>
        <v/>
      </c>
    </row>
    <row r="621" spans="1:28" ht="12" customHeight="1">
      <c r="A621" s="22">
        <v>629</v>
      </c>
      <c r="B621" s="30"/>
      <c r="C621" s="30"/>
      <c r="D621" s="29"/>
      <c r="E621" s="29"/>
      <c r="F621" s="29"/>
      <c r="G621" s="29"/>
      <c r="H621" s="29"/>
      <c r="I621" s="25" t="str">
        <f t="shared" si="90"/>
        <v/>
      </c>
      <c r="J621" s="29"/>
      <c r="K621" s="25" t="str">
        <f t="shared" si="91"/>
        <v/>
      </c>
      <c r="L621" s="26" t="str">
        <f t="shared" si="92"/>
        <v/>
      </c>
      <c r="M621" s="29"/>
      <c r="N621" s="29"/>
      <c r="O621" s="29"/>
      <c r="P621" s="29"/>
      <c r="Q621" s="29"/>
      <c r="R621" s="29"/>
      <c r="S621" s="29"/>
      <c r="T621" s="29"/>
      <c r="U621" s="26" t="str">
        <f t="shared" si="93"/>
        <v/>
      </c>
      <c r="V621" s="26"/>
      <c r="W621" s="26" t="str">
        <f t="shared" si="94"/>
        <v/>
      </c>
      <c r="X621" s="26" t="str">
        <f t="shared" si="95"/>
        <v/>
      </c>
      <c r="Y621" s="26" t="str">
        <f t="shared" si="96"/>
        <v/>
      </c>
      <c r="Z621" s="26" t="str">
        <f t="shared" si="97"/>
        <v/>
      </c>
      <c r="AA621" s="26" t="str">
        <f t="shared" si="98"/>
        <v/>
      </c>
      <c r="AB621" s="5" t="str">
        <f t="shared" si="99"/>
        <v/>
      </c>
    </row>
    <row r="622" spans="1:28" ht="12" customHeight="1">
      <c r="A622" s="22">
        <v>630</v>
      </c>
      <c r="B622" s="30"/>
      <c r="C622" s="30"/>
      <c r="D622" s="29"/>
      <c r="E622" s="29"/>
      <c r="F622" s="29"/>
      <c r="G622" s="29"/>
      <c r="H622" s="29"/>
      <c r="I622" s="25" t="str">
        <f t="shared" si="90"/>
        <v/>
      </c>
      <c r="J622" s="29"/>
      <c r="K622" s="25" t="str">
        <f t="shared" si="91"/>
        <v/>
      </c>
      <c r="L622" s="26" t="str">
        <f t="shared" si="92"/>
        <v/>
      </c>
      <c r="M622" s="29"/>
      <c r="N622" s="29"/>
      <c r="O622" s="29"/>
      <c r="P622" s="29"/>
      <c r="Q622" s="29"/>
      <c r="R622" s="29"/>
      <c r="S622" s="29"/>
      <c r="T622" s="29"/>
      <c r="U622" s="26" t="str">
        <f t="shared" si="93"/>
        <v/>
      </c>
      <c r="V622" s="26"/>
      <c r="W622" s="26" t="str">
        <f t="shared" si="94"/>
        <v/>
      </c>
      <c r="X622" s="26" t="str">
        <f t="shared" si="95"/>
        <v/>
      </c>
      <c r="Y622" s="26" t="str">
        <f t="shared" si="96"/>
        <v/>
      </c>
      <c r="Z622" s="26" t="str">
        <f t="shared" si="97"/>
        <v/>
      </c>
      <c r="AA622" s="26" t="str">
        <f t="shared" si="98"/>
        <v/>
      </c>
      <c r="AB622" s="5" t="str">
        <f t="shared" si="99"/>
        <v/>
      </c>
    </row>
    <row r="623" spans="1:28" ht="12" customHeight="1">
      <c r="A623" s="22">
        <v>631</v>
      </c>
      <c r="B623" s="30"/>
      <c r="C623" s="30"/>
      <c r="D623" s="29"/>
      <c r="E623" s="29"/>
      <c r="F623" s="29"/>
      <c r="G623" s="29"/>
      <c r="H623" s="29"/>
      <c r="I623" s="25" t="str">
        <f t="shared" si="90"/>
        <v/>
      </c>
      <c r="J623" s="29"/>
      <c r="K623" s="25" t="str">
        <f t="shared" si="91"/>
        <v/>
      </c>
      <c r="L623" s="26" t="str">
        <f t="shared" si="92"/>
        <v/>
      </c>
      <c r="M623" s="29"/>
      <c r="N623" s="29"/>
      <c r="O623" s="29"/>
      <c r="P623" s="29"/>
      <c r="Q623" s="29"/>
      <c r="R623" s="29"/>
      <c r="S623" s="29"/>
      <c r="T623" s="29"/>
      <c r="U623" s="26" t="str">
        <f t="shared" si="93"/>
        <v/>
      </c>
      <c r="V623" s="26"/>
      <c r="W623" s="26" t="str">
        <f t="shared" si="94"/>
        <v/>
      </c>
      <c r="X623" s="26" t="str">
        <f t="shared" si="95"/>
        <v/>
      </c>
      <c r="Y623" s="26" t="str">
        <f t="shared" si="96"/>
        <v/>
      </c>
      <c r="Z623" s="26" t="str">
        <f t="shared" si="97"/>
        <v/>
      </c>
      <c r="AA623" s="26" t="str">
        <f t="shared" si="98"/>
        <v/>
      </c>
      <c r="AB623" s="5" t="str">
        <f t="shared" si="99"/>
        <v/>
      </c>
    </row>
    <row r="624" spans="1:28" ht="12" customHeight="1">
      <c r="A624" s="22">
        <v>632</v>
      </c>
      <c r="B624" s="30"/>
      <c r="C624" s="30"/>
      <c r="D624" s="29"/>
      <c r="E624" s="29"/>
      <c r="F624" s="29"/>
      <c r="G624" s="29"/>
      <c r="H624" s="29"/>
      <c r="I624" s="25" t="str">
        <f t="shared" si="90"/>
        <v/>
      </c>
      <c r="J624" s="29"/>
      <c r="K624" s="25" t="str">
        <f t="shared" si="91"/>
        <v/>
      </c>
      <c r="L624" s="26" t="str">
        <f t="shared" si="92"/>
        <v/>
      </c>
      <c r="M624" s="29"/>
      <c r="N624" s="29"/>
      <c r="O624" s="29"/>
      <c r="P624" s="29"/>
      <c r="Q624" s="29"/>
      <c r="R624" s="29"/>
      <c r="S624" s="29"/>
      <c r="T624" s="29"/>
      <c r="U624" s="26" t="str">
        <f t="shared" si="93"/>
        <v/>
      </c>
      <c r="V624" s="26"/>
      <c r="W624" s="26" t="str">
        <f t="shared" si="94"/>
        <v/>
      </c>
      <c r="X624" s="26" t="str">
        <f t="shared" si="95"/>
        <v/>
      </c>
      <c r="Y624" s="26" t="str">
        <f t="shared" si="96"/>
        <v/>
      </c>
      <c r="Z624" s="26" t="str">
        <f t="shared" si="97"/>
        <v/>
      </c>
      <c r="AA624" s="26" t="str">
        <f t="shared" si="98"/>
        <v/>
      </c>
      <c r="AB624" s="5" t="str">
        <f t="shared" si="99"/>
        <v/>
      </c>
    </row>
    <row r="625" spans="1:28" ht="12" customHeight="1">
      <c r="A625" s="22">
        <v>633</v>
      </c>
      <c r="B625" s="30"/>
      <c r="C625" s="30"/>
      <c r="D625" s="29"/>
      <c r="E625" s="29"/>
      <c r="F625" s="29"/>
      <c r="G625" s="29"/>
      <c r="H625" s="29"/>
      <c r="I625" s="25" t="str">
        <f t="shared" si="90"/>
        <v/>
      </c>
      <c r="J625" s="29"/>
      <c r="K625" s="25" t="str">
        <f t="shared" si="91"/>
        <v/>
      </c>
      <c r="L625" s="26" t="str">
        <f t="shared" si="92"/>
        <v/>
      </c>
      <c r="M625" s="29"/>
      <c r="N625" s="29"/>
      <c r="O625" s="29"/>
      <c r="P625" s="29"/>
      <c r="Q625" s="29"/>
      <c r="R625" s="29"/>
      <c r="S625" s="29"/>
      <c r="T625" s="29"/>
      <c r="U625" s="26" t="str">
        <f t="shared" si="93"/>
        <v/>
      </c>
      <c r="V625" s="26"/>
      <c r="W625" s="26" t="str">
        <f t="shared" si="94"/>
        <v/>
      </c>
      <c r="X625" s="26" t="str">
        <f t="shared" si="95"/>
        <v/>
      </c>
      <c r="Y625" s="26" t="str">
        <f t="shared" si="96"/>
        <v/>
      </c>
      <c r="Z625" s="26" t="str">
        <f t="shared" si="97"/>
        <v/>
      </c>
      <c r="AA625" s="26" t="str">
        <f t="shared" si="98"/>
        <v/>
      </c>
      <c r="AB625" s="5" t="str">
        <f t="shared" si="99"/>
        <v/>
      </c>
    </row>
    <row r="626" spans="1:28" ht="12" customHeight="1">
      <c r="A626" s="22">
        <v>634</v>
      </c>
      <c r="B626" s="30"/>
      <c r="C626" s="30"/>
      <c r="D626" s="29"/>
      <c r="E626" s="29"/>
      <c r="F626" s="29"/>
      <c r="G626" s="29"/>
      <c r="H626" s="29"/>
      <c r="I626" s="25" t="str">
        <f t="shared" si="90"/>
        <v/>
      </c>
      <c r="J626" s="29"/>
      <c r="K626" s="25" t="str">
        <f t="shared" si="91"/>
        <v/>
      </c>
      <c r="L626" s="26" t="str">
        <f t="shared" si="92"/>
        <v/>
      </c>
      <c r="M626" s="29"/>
      <c r="N626" s="29"/>
      <c r="O626" s="29"/>
      <c r="P626" s="29"/>
      <c r="Q626" s="29"/>
      <c r="R626" s="29"/>
      <c r="S626" s="29"/>
      <c r="T626" s="29"/>
      <c r="U626" s="26" t="str">
        <f t="shared" si="93"/>
        <v/>
      </c>
      <c r="V626" s="26"/>
      <c r="W626" s="26" t="str">
        <f t="shared" si="94"/>
        <v/>
      </c>
      <c r="X626" s="26" t="str">
        <f t="shared" si="95"/>
        <v/>
      </c>
      <c r="Y626" s="26" t="str">
        <f t="shared" si="96"/>
        <v/>
      </c>
      <c r="Z626" s="26" t="str">
        <f t="shared" si="97"/>
        <v/>
      </c>
      <c r="AA626" s="26" t="str">
        <f t="shared" si="98"/>
        <v/>
      </c>
      <c r="AB626" s="5" t="str">
        <f t="shared" si="99"/>
        <v/>
      </c>
    </row>
    <row r="627" spans="1:28" ht="12" customHeight="1">
      <c r="A627" s="22">
        <v>635</v>
      </c>
      <c r="B627" s="30"/>
      <c r="C627" s="30"/>
      <c r="D627" s="29"/>
      <c r="E627" s="29"/>
      <c r="F627" s="29"/>
      <c r="G627" s="29"/>
      <c r="H627" s="29"/>
      <c r="I627" s="25" t="str">
        <f t="shared" si="90"/>
        <v/>
      </c>
      <c r="J627" s="29"/>
      <c r="K627" s="25" t="str">
        <f t="shared" si="91"/>
        <v/>
      </c>
      <c r="L627" s="26" t="str">
        <f t="shared" si="92"/>
        <v/>
      </c>
      <c r="M627" s="29"/>
      <c r="N627" s="29"/>
      <c r="O627" s="29"/>
      <c r="P627" s="29"/>
      <c r="Q627" s="29"/>
      <c r="R627" s="29"/>
      <c r="S627" s="29"/>
      <c r="T627" s="29"/>
      <c r="U627" s="26" t="str">
        <f t="shared" si="93"/>
        <v/>
      </c>
      <c r="V627" s="26"/>
      <c r="W627" s="26" t="str">
        <f t="shared" si="94"/>
        <v/>
      </c>
      <c r="X627" s="26" t="str">
        <f t="shared" si="95"/>
        <v/>
      </c>
      <c r="Y627" s="26" t="str">
        <f t="shared" si="96"/>
        <v/>
      </c>
      <c r="Z627" s="26" t="str">
        <f t="shared" si="97"/>
        <v/>
      </c>
      <c r="AA627" s="26" t="str">
        <f t="shared" si="98"/>
        <v/>
      </c>
      <c r="AB627" s="5" t="str">
        <f t="shared" si="99"/>
        <v/>
      </c>
    </row>
    <row r="628" spans="1:28" ht="12" customHeight="1">
      <c r="A628" s="22">
        <v>636</v>
      </c>
      <c r="B628" s="30"/>
      <c r="C628" s="30"/>
      <c r="D628" s="29"/>
      <c r="E628" s="29"/>
      <c r="F628" s="29"/>
      <c r="G628" s="29"/>
      <c r="H628" s="29"/>
      <c r="I628" s="25" t="str">
        <f t="shared" si="90"/>
        <v/>
      </c>
      <c r="J628" s="29"/>
      <c r="K628" s="25" t="str">
        <f t="shared" si="91"/>
        <v/>
      </c>
      <c r="L628" s="26" t="str">
        <f t="shared" si="92"/>
        <v/>
      </c>
      <c r="M628" s="29"/>
      <c r="N628" s="29"/>
      <c r="O628" s="29"/>
      <c r="P628" s="29"/>
      <c r="Q628" s="29"/>
      <c r="R628" s="29"/>
      <c r="S628" s="29"/>
      <c r="T628" s="29"/>
      <c r="U628" s="26" t="str">
        <f t="shared" si="93"/>
        <v/>
      </c>
      <c r="V628" s="26"/>
      <c r="W628" s="26" t="str">
        <f t="shared" si="94"/>
        <v/>
      </c>
      <c r="X628" s="26" t="str">
        <f t="shared" si="95"/>
        <v/>
      </c>
      <c r="Y628" s="26" t="str">
        <f t="shared" si="96"/>
        <v/>
      </c>
      <c r="Z628" s="26" t="str">
        <f t="shared" si="97"/>
        <v/>
      </c>
      <c r="AA628" s="26" t="str">
        <f t="shared" si="98"/>
        <v/>
      </c>
      <c r="AB628" s="5" t="str">
        <f t="shared" si="99"/>
        <v/>
      </c>
    </row>
    <row r="629" spans="1:28" ht="12" customHeight="1">
      <c r="A629" s="22">
        <v>637</v>
      </c>
      <c r="B629" s="30"/>
      <c r="C629" s="30"/>
      <c r="D629" s="29"/>
      <c r="E629" s="29"/>
      <c r="F629" s="29"/>
      <c r="G629" s="29"/>
      <c r="H629" s="29"/>
      <c r="I629" s="25" t="str">
        <f t="shared" si="90"/>
        <v/>
      </c>
      <c r="J629" s="29"/>
      <c r="K629" s="25" t="str">
        <f t="shared" si="91"/>
        <v/>
      </c>
      <c r="L629" s="26" t="str">
        <f t="shared" si="92"/>
        <v/>
      </c>
      <c r="M629" s="29"/>
      <c r="N629" s="29"/>
      <c r="O629" s="29"/>
      <c r="P629" s="29"/>
      <c r="Q629" s="29"/>
      <c r="R629" s="29"/>
      <c r="S629" s="29"/>
      <c r="T629" s="29"/>
      <c r="U629" s="26" t="str">
        <f t="shared" si="93"/>
        <v/>
      </c>
      <c r="V629" s="26"/>
      <c r="W629" s="26" t="str">
        <f t="shared" si="94"/>
        <v/>
      </c>
      <c r="X629" s="26" t="str">
        <f t="shared" si="95"/>
        <v/>
      </c>
      <c r="Y629" s="26" t="str">
        <f t="shared" si="96"/>
        <v/>
      </c>
      <c r="Z629" s="26" t="str">
        <f t="shared" si="97"/>
        <v/>
      </c>
      <c r="AA629" s="26" t="str">
        <f t="shared" si="98"/>
        <v/>
      </c>
      <c r="AB629" s="5" t="str">
        <f t="shared" si="99"/>
        <v/>
      </c>
    </row>
    <row r="630" spans="1:28" ht="12" customHeight="1">
      <c r="A630" s="22">
        <v>638</v>
      </c>
      <c r="B630" s="30"/>
      <c r="C630" s="30"/>
      <c r="D630" s="29"/>
      <c r="E630" s="29"/>
      <c r="F630" s="29"/>
      <c r="G630" s="29"/>
      <c r="H630" s="29"/>
      <c r="I630" s="25" t="str">
        <f t="shared" si="90"/>
        <v/>
      </c>
      <c r="J630" s="29"/>
      <c r="K630" s="25" t="str">
        <f t="shared" si="91"/>
        <v/>
      </c>
      <c r="L630" s="26" t="str">
        <f t="shared" si="92"/>
        <v/>
      </c>
      <c r="M630" s="29"/>
      <c r="N630" s="29"/>
      <c r="O630" s="29"/>
      <c r="P630" s="29"/>
      <c r="Q630" s="29"/>
      <c r="R630" s="29"/>
      <c r="S630" s="29"/>
      <c r="T630" s="29"/>
      <c r="U630" s="26" t="str">
        <f t="shared" si="93"/>
        <v/>
      </c>
      <c r="V630" s="26"/>
      <c r="W630" s="26" t="str">
        <f t="shared" si="94"/>
        <v/>
      </c>
      <c r="X630" s="26" t="str">
        <f t="shared" si="95"/>
        <v/>
      </c>
      <c r="Y630" s="26" t="str">
        <f t="shared" si="96"/>
        <v/>
      </c>
      <c r="Z630" s="26" t="str">
        <f t="shared" si="97"/>
        <v/>
      </c>
      <c r="AA630" s="26" t="str">
        <f t="shared" si="98"/>
        <v/>
      </c>
      <c r="AB630" s="5" t="str">
        <f t="shared" si="99"/>
        <v/>
      </c>
    </row>
    <row r="631" spans="1:28" ht="12" customHeight="1">
      <c r="A631" s="22">
        <v>639</v>
      </c>
      <c r="B631" s="30"/>
      <c r="C631" s="30"/>
      <c r="D631" s="29"/>
      <c r="E631" s="29"/>
      <c r="F631" s="29"/>
      <c r="G631" s="29"/>
      <c r="H631" s="29"/>
      <c r="I631" s="25" t="str">
        <f t="shared" si="90"/>
        <v/>
      </c>
      <c r="J631" s="29"/>
      <c r="K631" s="25" t="str">
        <f t="shared" si="91"/>
        <v/>
      </c>
      <c r="L631" s="26" t="str">
        <f t="shared" si="92"/>
        <v/>
      </c>
      <c r="M631" s="29"/>
      <c r="N631" s="29"/>
      <c r="O631" s="29"/>
      <c r="P631" s="29"/>
      <c r="Q631" s="29"/>
      <c r="R631" s="29"/>
      <c r="S631" s="29"/>
      <c r="T631" s="29"/>
      <c r="U631" s="26" t="str">
        <f t="shared" si="93"/>
        <v/>
      </c>
      <c r="V631" s="26"/>
      <c r="W631" s="26" t="str">
        <f t="shared" si="94"/>
        <v/>
      </c>
      <c r="X631" s="26" t="str">
        <f t="shared" si="95"/>
        <v/>
      </c>
      <c r="Y631" s="26" t="str">
        <f t="shared" si="96"/>
        <v/>
      </c>
      <c r="Z631" s="26" t="str">
        <f t="shared" si="97"/>
        <v/>
      </c>
      <c r="AA631" s="26" t="str">
        <f t="shared" si="98"/>
        <v/>
      </c>
      <c r="AB631" s="5" t="str">
        <f t="shared" si="99"/>
        <v/>
      </c>
    </row>
    <row r="632" spans="1:28" ht="12" customHeight="1">
      <c r="A632" s="22">
        <v>640</v>
      </c>
      <c r="B632" s="30"/>
      <c r="C632" s="30"/>
      <c r="D632" s="29"/>
      <c r="E632" s="29"/>
      <c r="F632" s="29"/>
      <c r="G632" s="29"/>
      <c r="H632" s="29"/>
      <c r="I632" s="25" t="str">
        <f t="shared" si="90"/>
        <v/>
      </c>
      <c r="J632" s="29"/>
      <c r="K632" s="25" t="str">
        <f t="shared" si="91"/>
        <v/>
      </c>
      <c r="L632" s="26" t="str">
        <f t="shared" si="92"/>
        <v/>
      </c>
      <c r="M632" s="29"/>
      <c r="N632" s="29"/>
      <c r="O632" s="29"/>
      <c r="P632" s="29"/>
      <c r="Q632" s="29"/>
      <c r="R632" s="29"/>
      <c r="S632" s="29"/>
      <c r="T632" s="29"/>
      <c r="U632" s="26" t="str">
        <f t="shared" si="93"/>
        <v/>
      </c>
      <c r="V632" s="26"/>
      <c r="W632" s="26" t="str">
        <f t="shared" si="94"/>
        <v/>
      </c>
      <c r="X632" s="26" t="str">
        <f t="shared" si="95"/>
        <v/>
      </c>
      <c r="Y632" s="26" t="str">
        <f t="shared" si="96"/>
        <v/>
      </c>
      <c r="Z632" s="26" t="str">
        <f t="shared" si="97"/>
        <v/>
      </c>
      <c r="AA632" s="26" t="str">
        <f t="shared" si="98"/>
        <v/>
      </c>
      <c r="AB632" s="5" t="str">
        <f t="shared" si="99"/>
        <v/>
      </c>
    </row>
    <row r="633" spans="1:28" ht="12" customHeight="1">
      <c r="A633" s="22">
        <v>641</v>
      </c>
      <c r="B633" s="30"/>
      <c r="C633" s="30"/>
      <c r="D633" s="29"/>
      <c r="E633" s="29"/>
      <c r="F633" s="29"/>
      <c r="G633" s="29"/>
      <c r="H633" s="29"/>
      <c r="I633" s="25" t="str">
        <f t="shared" si="90"/>
        <v/>
      </c>
      <c r="J633" s="29"/>
      <c r="K633" s="25" t="str">
        <f t="shared" si="91"/>
        <v/>
      </c>
      <c r="L633" s="26" t="str">
        <f t="shared" si="92"/>
        <v/>
      </c>
      <c r="M633" s="29"/>
      <c r="N633" s="29"/>
      <c r="O633" s="29"/>
      <c r="P633" s="29"/>
      <c r="Q633" s="29"/>
      <c r="R633" s="29"/>
      <c r="S633" s="29"/>
      <c r="T633" s="29"/>
      <c r="U633" s="26" t="str">
        <f t="shared" si="93"/>
        <v/>
      </c>
      <c r="V633" s="26"/>
      <c r="W633" s="26" t="str">
        <f t="shared" si="94"/>
        <v/>
      </c>
      <c r="X633" s="26" t="str">
        <f t="shared" si="95"/>
        <v/>
      </c>
      <c r="Y633" s="26" t="str">
        <f t="shared" si="96"/>
        <v/>
      </c>
      <c r="Z633" s="26" t="str">
        <f t="shared" si="97"/>
        <v/>
      </c>
      <c r="AA633" s="26" t="str">
        <f t="shared" si="98"/>
        <v/>
      </c>
      <c r="AB633" s="5" t="str">
        <f t="shared" si="99"/>
        <v/>
      </c>
    </row>
    <row r="634" spans="1:28" ht="12" customHeight="1">
      <c r="A634" s="22">
        <v>642</v>
      </c>
      <c r="B634" s="30"/>
      <c r="C634" s="30"/>
      <c r="D634" s="29"/>
      <c r="E634" s="29"/>
      <c r="F634" s="29"/>
      <c r="G634" s="29"/>
      <c r="H634" s="29"/>
      <c r="I634" s="25" t="str">
        <f t="shared" si="90"/>
        <v/>
      </c>
      <c r="J634" s="29"/>
      <c r="K634" s="25" t="str">
        <f t="shared" si="91"/>
        <v/>
      </c>
      <c r="L634" s="26" t="str">
        <f t="shared" si="92"/>
        <v/>
      </c>
      <c r="M634" s="29"/>
      <c r="N634" s="29"/>
      <c r="O634" s="29"/>
      <c r="P634" s="29"/>
      <c r="Q634" s="29"/>
      <c r="R634" s="29"/>
      <c r="S634" s="29"/>
      <c r="T634" s="29"/>
      <c r="U634" s="26" t="str">
        <f t="shared" si="93"/>
        <v/>
      </c>
      <c r="V634" s="26"/>
      <c r="W634" s="26" t="str">
        <f t="shared" si="94"/>
        <v/>
      </c>
      <c r="X634" s="26" t="str">
        <f t="shared" si="95"/>
        <v/>
      </c>
      <c r="Y634" s="26" t="str">
        <f t="shared" si="96"/>
        <v/>
      </c>
      <c r="Z634" s="26" t="str">
        <f t="shared" si="97"/>
        <v/>
      </c>
      <c r="AA634" s="26" t="str">
        <f t="shared" si="98"/>
        <v/>
      </c>
      <c r="AB634" s="5" t="str">
        <f t="shared" si="99"/>
        <v/>
      </c>
    </row>
    <row r="635" spans="1:28" ht="12" customHeight="1">
      <c r="A635" s="22">
        <v>643</v>
      </c>
      <c r="B635" s="30"/>
      <c r="C635" s="30"/>
      <c r="D635" s="29"/>
      <c r="E635" s="29"/>
      <c r="F635" s="29"/>
      <c r="G635" s="29"/>
      <c r="H635" s="29"/>
      <c r="I635" s="25" t="str">
        <f t="shared" si="90"/>
        <v/>
      </c>
      <c r="J635" s="29"/>
      <c r="K635" s="25" t="str">
        <f t="shared" si="91"/>
        <v/>
      </c>
      <c r="L635" s="26" t="str">
        <f t="shared" si="92"/>
        <v/>
      </c>
      <c r="M635" s="29"/>
      <c r="N635" s="29"/>
      <c r="O635" s="29"/>
      <c r="P635" s="29"/>
      <c r="Q635" s="29"/>
      <c r="R635" s="29"/>
      <c r="S635" s="29"/>
      <c r="T635" s="29"/>
      <c r="U635" s="26" t="str">
        <f t="shared" si="93"/>
        <v/>
      </c>
      <c r="V635" s="26"/>
      <c r="W635" s="26" t="str">
        <f t="shared" si="94"/>
        <v/>
      </c>
      <c r="X635" s="26" t="str">
        <f t="shared" si="95"/>
        <v/>
      </c>
      <c r="Y635" s="26" t="str">
        <f t="shared" si="96"/>
        <v/>
      </c>
      <c r="Z635" s="26" t="str">
        <f t="shared" si="97"/>
        <v/>
      </c>
      <c r="AA635" s="26" t="str">
        <f t="shared" si="98"/>
        <v/>
      </c>
      <c r="AB635" s="5" t="str">
        <f t="shared" si="99"/>
        <v/>
      </c>
    </row>
    <row r="636" spans="1:28" ht="12" customHeight="1">
      <c r="A636" s="22">
        <v>644</v>
      </c>
      <c r="B636" s="30"/>
      <c r="C636" s="30"/>
      <c r="D636" s="29"/>
      <c r="E636" s="29"/>
      <c r="F636" s="29"/>
      <c r="G636" s="29"/>
      <c r="H636" s="29"/>
      <c r="I636" s="25" t="str">
        <f t="shared" si="90"/>
        <v/>
      </c>
      <c r="J636" s="29"/>
      <c r="K636" s="25" t="str">
        <f t="shared" si="91"/>
        <v/>
      </c>
      <c r="L636" s="26" t="str">
        <f t="shared" si="92"/>
        <v/>
      </c>
      <c r="M636" s="29"/>
      <c r="N636" s="29"/>
      <c r="O636" s="29"/>
      <c r="P636" s="29"/>
      <c r="Q636" s="29"/>
      <c r="R636" s="29"/>
      <c r="S636" s="29"/>
      <c r="T636" s="29"/>
      <c r="U636" s="26" t="str">
        <f t="shared" si="93"/>
        <v/>
      </c>
      <c r="V636" s="26"/>
      <c r="W636" s="26" t="str">
        <f t="shared" si="94"/>
        <v/>
      </c>
      <c r="X636" s="26" t="str">
        <f t="shared" si="95"/>
        <v/>
      </c>
      <c r="Y636" s="26" t="str">
        <f t="shared" si="96"/>
        <v/>
      </c>
      <c r="Z636" s="26" t="str">
        <f t="shared" si="97"/>
        <v/>
      </c>
      <c r="AA636" s="26" t="str">
        <f t="shared" si="98"/>
        <v/>
      </c>
      <c r="AB636" s="5" t="str">
        <f t="shared" si="99"/>
        <v/>
      </c>
    </row>
    <row r="637" spans="1:28" ht="12" customHeight="1">
      <c r="A637" s="22">
        <v>645</v>
      </c>
      <c r="B637" s="30"/>
      <c r="C637" s="30"/>
      <c r="D637" s="29"/>
      <c r="E637" s="29"/>
      <c r="F637" s="29"/>
      <c r="G637" s="29"/>
      <c r="H637" s="29"/>
      <c r="I637" s="25" t="str">
        <f t="shared" si="90"/>
        <v/>
      </c>
      <c r="J637" s="29"/>
      <c r="K637" s="25" t="str">
        <f t="shared" si="91"/>
        <v/>
      </c>
      <c r="L637" s="26" t="str">
        <f t="shared" si="92"/>
        <v/>
      </c>
      <c r="M637" s="29"/>
      <c r="N637" s="29"/>
      <c r="O637" s="29"/>
      <c r="P637" s="29"/>
      <c r="Q637" s="29"/>
      <c r="R637" s="29"/>
      <c r="S637" s="29"/>
      <c r="T637" s="29"/>
      <c r="U637" s="26" t="str">
        <f t="shared" si="93"/>
        <v/>
      </c>
      <c r="V637" s="26"/>
      <c r="W637" s="26" t="str">
        <f t="shared" si="94"/>
        <v/>
      </c>
      <c r="X637" s="26" t="str">
        <f t="shared" si="95"/>
        <v/>
      </c>
      <c r="Y637" s="26" t="str">
        <f t="shared" si="96"/>
        <v/>
      </c>
      <c r="Z637" s="26" t="str">
        <f t="shared" si="97"/>
        <v/>
      </c>
      <c r="AA637" s="26" t="str">
        <f t="shared" si="98"/>
        <v/>
      </c>
      <c r="AB637" s="5" t="str">
        <f t="shared" si="99"/>
        <v/>
      </c>
    </row>
    <row r="638" spans="1:28" ht="12" customHeight="1">
      <c r="A638" s="22">
        <v>646</v>
      </c>
      <c r="B638" s="30"/>
      <c r="C638" s="30"/>
      <c r="D638" s="29"/>
      <c r="E638" s="29"/>
      <c r="F638" s="29"/>
      <c r="G638" s="29"/>
      <c r="H638" s="29"/>
      <c r="I638" s="25" t="str">
        <f t="shared" si="90"/>
        <v/>
      </c>
      <c r="J638" s="29"/>
      <c r="K638" s="25" t="str">
        <f t="shared" si="91"/>
        <v/>
      </c>
      <c r="L638" s="26" t="str">
        <f t="shared" si="92"/>
        <v/>
      </c>
      <c r="M638" s="29"/>
      <c r="N638" s="29"/>
      <c r="O638" s="29"/>
      <c r="P638" s="29"/>
      <c r="Q638" s="29"/>
      <c r="R638" s="29"/>
      <c r="S638" s="29"/>
      <c r="T638" s="29"/>
      <c r="U638" s="26" t="str">
        <f t="shared" si="93"/>
        <v/>
      </c>
      <c r="V638" s="26"/>
      <c r="W638" s="26" t="str">
        <f t="shared" si="94"/>
        <v/>
      </c>
      <c r="X638" s="26" t="str">
        <f t="shared" si="95"/>
        <v/>
      </c>
      <c r="Y638" s="26" t="str">
        <f t="shared" si="96"/>
        <v/>
      </c>
      <c r="Z638" s="26" t="str">
        <f t="shared" si="97"/>
        <v/>
      </c>
      <c r="AA638" s="26" t="str">
        <f t="shared" si="98"/>
        <v/>
      </c>
      <c r="AB638" s="5" t="str">
        <f t="shared" si="99"/>
        <v/>
      </c>
    </row>
    <row r="639" spans="1:28" ht="12" customHeight="1">
      <c r="A639" s="22">
        <v>647</v>
      </c>
      <c r="B639" s="30"/>
      <c r="C639" s="30"/>
      <c r="D639" s="29"/>
      <c r="E639" s="29"/>
      <c r="F639" s="29"/>
      <c r="G639" s="29"/>
      <c r="H639" s="29"/>
      <c r="I639" s="25" t="str">
        <f t="shared" si="90"/>
        <v/>
      </c>
      <c r="J639" s="29"/>
      <c r="K639" s="25" t="str">
        <f t="shared" si="91"/>
        <v/>
      </c>
      <c r="L639" s="26" t="str">
        <f t="shared" si="92"/>
        <v/>
      </c>
      <c r="M639" s="29"/>
      <c r="N639" s="29"/>
      <c r="O639" s="29"/>
      <c r="P639" s="29"/>
      <c r="Q639" s="29"/>
      <c r="R639" s="29"/>
      <c r="S639" s="29"/>
      <c r="T639" s="29"/>
      <c r="U639" s="26" t="str">
        <f t="shared" si="93"/>
        <v/>
      </c>
      <c r="V639" s="26"/>
      <c r="W639" s="26" t="str">
        <f t="shared" si="94"/>
        <v/>
      </c>
      <c r="X639" s="26" t="str">
        <f t="shared" si="95"/>
        <v/>
      </c>
      <c r="Y639" s="26" t="str">
        <f t="shared" si="96"/>
        <v/>
      </c>
      <c r="Z639" s="26" t="str">
        <f t="shared" si="97"/>
        <v/>
      </c>
      <c r="AA639" s="26" t="str">
        <f t="shared" si="98"/>
        <v/>
      </c>
      <c r="AB639" s="5" t="str">
        <f t="shared" si="99"/>
        <v/>
      </c>
    </row>
    <row r="640" spans="1:28" ht="12" customHeight="1">
      <c r="A640" s="22">
        <v>648</v>
      </c>
      <c r="B640" s="30"/>
      <c r="C640" s="30"/>
      <c r="D640" s="29"/>
      <c r="E640" s="29"/>
      <c r="F640" s="29"/>
      <c r="G640" s="29"/>
      <c r="H640" s="29"/>
      <c r="I640" s="25" t="str">
        <f t="shared" si="90"/>
        <v/>
      </c>
      <c r="J640" s="29"/>
      <c r="K640" s="25" t="str">
        <f t="shared" si="91"/>
        <v/>
      </c>
      <c r="L640" s="26" t="str">
        <f t="shared" si="92"/>
        <v/>
      </c>
      <c r="M640" s="29"/>
      <c r="N640" s="29"/>
      <c r="O640" s="29"/>
      <c r="P640" s="29"/>
      <c r="Q640" s="29"/>
      <c r="R640" s="29"/>
      <c r="S640" s="29"/>
      <c r="T640" s="29"/>
      <c r="U640" s="26" t="str">
        <f t="shared" si="93"/>
        <v/>
      </c>
      <c r="V640" s="26"/>
      <c r="W640" s="26" t="str">
        <f t="shared" si="94"/>
        <v/>
      </c>
      <c r="X640" s="26" t="str">
        <f t="shared" si="95"/>
        <v/>
      </c>
      <c r="Y640" s="26" t="str">
        <f t="shared" si="96"/>
        <v/>
      </c>
      <c r="Z640" s="26" t="str">
        <f t="shared" si="97"/>
        <v/>
      </c>
      <c r="AA640" s="26" t="str">
        <f t="shared" si="98"/>
        <v/>
      </c>
      <c r="AB640" s="5" t="str">
        <f t="shared" si="99"/>
        <v/>
      </c>
    </row>
    <row r="641" spans="1:28" ht="12" customHeight="1">
      <c r="A641" s="22">
        <v>649</v>
      </c>
      <c r="B641" s="30"/>
      <c r="C641" s="30"/>
      <c r="D641" s="29"/>
      <c r="E641" s="29"/>
      <c r="F641" s="29"/>
      <c r="G641" s="29"/>
      <c r="H641" s="29"/>
      <c r="I641" s="25" t="str">
        <f t="shared" si="90"/>
        <v/>
      </c>
      <c r="J641" s="29"/>
      <c r="K641" s="25" t="str">
        <f t="shared" si="91"/>
        <v/>
      </c>
      <c r="L641" s="26" t="str">
        <f t="shared" si="92"/>
        <v/>
      </c>
      <c r="M641" s="29"/>
      <c r="N641" s="29"/>
      <c r="O641" s="29"/>
      <c r="P641" s="29"/>
      <c r="Q641" s="29"/>
      <c r="R641" s="29"/>
      <c r="S641" s="29"/>
      <c r="T641" s="29"/>
      <c r="U641" s="26" t="str">
        <f t="shared" si="93"/>
        <v/>
      </c>
      <c r="V641" s="26"/>
      <c r="W641" s="26" t="str">
        <f t="shared" si="94"/>
        <v/>
      </c>
      <c r="X641" s="26" t="str">
        <f t="shared" si="95"/>
        <v/>
      </c>
      <c r="Y641" s="26" t="str">
        <f t="shared" si="96"/>
        <v/>
      </c>
      <c r="Z641" s="26" t="str">
        <f t="shared" si="97"/>
        <v/>
      </c>
      <c r="AA641" s="26" t="str">
        <f t="shared" si="98"/>
        <v/>
      </c>
      <c r="AB641" s="5" t="str">
        <f t="shared" si="99"/>
        <v/>
      </c>
    </row>
    <row r="642" spans="1:28" ht="12" customHeight="1">
      <c r="A642" s="22">
        <v>650</v>
      </c>
      <c r="B642" s="30"/>
      <c r="C642" s="30"/>
      <c r="D642" s="29"/>
      <c r="E642" s="29"/>
      <c r="F642" s="29"/>
      <c r="G642" s="29"/>
      <c r="H642" s="29"/>
      <c r="I642" s="25" t="str">
        <f t="shared" si="90"/>
        <v/>
      </c>
      <c r="J642" s="29"/>
      <c r="K642" s="25" t="str">
        <f t="shared" si="91"/>
        <v/>
      </c>
      <c r="L642" s="26" t="str">
        <f t="shared" si="92"/>
        <v/>
      </c>
      <c r="M642" s="29"/>
      <c r="N642" s="29"/>
      <c r="O642" s="29"/>
      <c r="P642" s="29"/>
      <c r="Q642" s="29"/>
      <c r="R642" s="29"/>
      <c r="S642" s="29"/>
      <c r="T642" s="29"/>
      <c r="U642" s="26" t="str">
        <f t="shared" si="93"/>
        <v/>
      </c>
      <c r="V642" s="26"/>
      <c r="W642" s="26" t="str">
        <f t="shared" si="94"/>
        <v/>
      </c>
      <c r="X642" s="26" t="str">
        <f t="shared" si="95"/>
        <v/>
      </c>
      <c r="Y642" s="26" t="str">
        <f t="shared" si="96"/>
        <v/>
      </c>
      <c r="Z642" s="26" t="str">
        <f t="shared" si="97"/>
        <v/>
      </c>
      <c r="AA642" s="26" t="str">
        <f t="shared" si="98"/>
        <v/>
      </c>
      <c r="AB642" s="5" t="str">
        <f t="shared" si="99"/>
        <v/>
      </c>
    </row>
    <row r="643" spans="1:28" ht="12" customHeight="1">
      <c r="A643" s="22">
        <v>651</v>
      </c>
      <c r="B643" s="30"/>
      <c r="C643" s="30"/>
      <c r="D643" s="29"/>
      <c r="E643" s="29"/>
      <c r="F643" s="29"/>
      <c r="G643" s="29"/>
      <c r="H643" s="29"/>
      <c r="I643" s="25" t="str">
        <f t="shared" si="90"/>
        <v/>
      </c>
      <c r="J643" s="29"/>
      <c r="K643" s="25" t="str">
        <f t="shared" si="91"/>
        <v/>
      </c>
      <c r="L643" s="26" t="str">
        <f t="shared" si="92"/>
        <v/>
      </c>
      <c r="M643" s="29"/>
      <c r="N643" s="29"/>
      <c r="O643" s="29"/>
      <c r="P643" s="29"/>
      <c r="Q643" s="29"/>
      <c r="R643" s="29"/>
      <c r="S643" s="29"/>
      <c r="T643" s="29"/>
      <c r="U643" s="26" t="str">
        <f t="shared" si="93"/>
        <v/>
      </c>
      <c r="V643" s="26"/>
      <c r="W643" s="26" t="str">
        <f t="shared" si="94"/>
        <v/>
      </c>
      <c r="X643" s="26" t="str">
        <f t="shared" si="95"/>
        <v/>
      </c>
      <c r="Y643" s="26" t="str">
        <f t="shared" si="96"/>
        <v/>
      </c>
      <c r="Z643" s="26" t="str">
        <f t="shared" si="97"/>
        <v/>
      </c>
      <c r="AA643" s="26" t="str">
        <f t="shared" si="98"/>
        <v/>
      </c>
      <c r="AB643" s="5" t="str">
        <f t="shared" si="99"/>
        <v/>
      </c>
    </row>
    <row r="644" spans="1:28" ht="12" customHeight="1">
      <c r="A644" s="22">
        <v>652</v>
      </c>
      <c r="B644" s="30"/>
      <c r="C644" s="30"/>
      <c r="D644" s="29"/>
      <c r="E644" s="29"/>
      <c r="F644" s="29"/>
      <c r="G644" s="29"/>
      <c r="H644" s="29"/>
      <c r="I644" s="25" t="str">
        <f t="shared" si="90"/>
        <v/>
      </c>
      <c r="J644" s="29"/>
      <c r="K644" s="25" t="str">
        <f t="shared" si="91"/>
        <v/>
      </c>
      <c r="L644" s="26" t="str">
        <f t="shared" si="92"/>
        <v/>
      </c>
      <c r="M644" s="29"/>
      <c r="N644" s="29"/>
      <c r="O644" s="29"/>
      <c r="P644" s="29"/>
      <c r="Q644" s="29"/>
      <c r="R644" s="29"/>
      <c r="S644" s="29"/>
      <c r="T644" s="29"/>
      <c r="U644" s="26" t="str">
        <f t="shared" si="93"/>
        <v/>
      </c>
      <c r="V644" s="26"/>
      <c r="W644" s="26" t="str">
        <f t="shared" si="94"/>
        <v/>
      </c>
      <c r="X644" s="26" t="str">
        <f t="shared" si="95"/>
        <v/>
      </c>
      <c r="Y644" s="26" t="str">
        <f t="shared" si="96"/>
        <v/>
      </c>
      <c r="Z644" s="26" t="str">
        <f t="shared" si="97"/>
        <v/>
      </c>
      <c r="AA644" s="26" t="str">
        <f t="shared" si="98"/>
        <v/>
      </c>
      <c r="AB644" s="5" t="str">
        <f t="shared" si="99"/>
        <v/>
      </c>
    </row>
    <row r="645" spans="1:28" ht="12" customHeight="1">
      <c r="A645" s="22">
        <v>653</v>
      </c>
      <c r="B645" s="30"/>
      <c r="C645" s="30"/>
      <c r="D645" s="29"/>
      <c r="E645" s="29"/>
      <c r="F645" s="29"/>
      <c r="G645" s="29"/>
      <c r="H645" s="29"/>
      <c r="I645" s="25" t="str">
        <f t="shared" si="90"/>
        <v/>
      </c>
      <c r="J645" s="29"/>
      <c r="K645" s="25" t="str">
        <f t="shared" si="91"/>
        <v/>
      </c>
      <c r="L645" s="26" t="str">
        <f t="shared" si="92"/>
        <v/>
      </c>
      <c r="M645" s="29"/>
      <c r="N645" s="29"/>
      <c r="O645" s="29"/>
      <c r="P645" s="29"/>
      <c r="Q645" s="29"/>
      <c r="R645" s="29"/>
      <c r="S645" s="29"/>
      <c r="T645" s="29"/>
      <c r="U645" s="26" t="str">
        <f t="shared" si="93"/>
        <v/>
      </c>
      <c r="V645" s="26"/>
      <c r="W645" s="26" t="str">
        <f t="shared" si="94"/>
        <v/>
      </c>
      <c r="X645" s="26" t="str">
        <f t="shared" si="95"/>
        <v/>
      </c>
      <c r="Y645" s="26" t="str">
        <f t="shared" si="96"/>
        <v/>
      </c>
      <c r="Z645" s="26" t="str">
        <f t="shared" si="97"/>
        <v/>
      </c>
      <c r="AA645" s="26" t="str">
        <f t="shared" si="98"/>
        <v/>
      </c>
      <c r="AB645" s="5" t="str">
        <f t="shared" si="99"/>
        <v/>
      </c>
    </row>
    <row r="646" spans="1:28" ht="12" customHeight="1">
      <c r="A646" s="22">
        <v>654</v>
      </c>
      <c r="B646" s="30"/>
      <c r="C646" s="30"/>
      <c r="D646" s="29"/>
      <c r="E646" s="29"/>
      <c r="F646" s="29"/>
      <c r="G646" s="29"/>
      <c r="H646" s="29"/>
      <c r="I646" s="25" t="str">
        <f t="shared" ref="I646:I709" si="100">IFERROR(IF(H646="Unlikely",1,IF(H646="Possible",2,IF(H646="Likely",3,IF(H646="Almost Certain",4,IF(H646="Certain",5,""))))),"")</f>
        <v/>
      </c>
      <c r="J646" s="29"/>
      <c r="K646" s="25" t="str">
        <f t="shared" ref="K646:K709" si="101">IFERROR(IF(J646="Negligible",1,IF(J646="Minor",2,IF(J646="Moderate",3,IF(J646="Major",4,IF(J646="Critical",5,""))))),"")</f>
        <v/>
      </c>
      <c r="L646" s="26" t="str">
        <f t="shared" ref="L646:L709" si="102">IF(OR(I646="",K646=""),"",I646*K646)</f>
        <v/>
      </c>
      <c r="M646" s="29"/>
      <c r="N646" s="29"/>
      <c r="O646" s="29"/>
      <c r="P646" s="29"/>
      <c r="Q646" s="29"/>
      <c r="R646" s="29"/>
      <c r="S646" s="29"/>
      <c r="T646" s="29"/>
      <c r="U646" s="26" t="str">
        <f t="shared" ref="U646:U709" si="103">IF(L646="","",IF(L646&lt;=4,"Low",IF(L646&lt;=9,"Medium",IF(L646&lt;=15,"High","Critical"))))</f>
        <v/>
      </c>
      <c r="V646" s="26"/>
      <c r="W646" s="26" t="str">
        <f t="shared" ref="W646:W709" si="104">IF(I646="","",MAX(1,I646-(IF(V646="Limited",1,IF(V646="Partial",2,IF(V646="Substantial",3,IF(V646="Highly Effective",4,0)))))))</f>
        <v/>
      </c>
      <c r="X646" s="26" t="str">
        <f t="shared" ref="X646:X709" si="105">IF(K646="","",MAX(1,K646-ROUNDDOWN((IF(V646="Limited",1,IF(V646="Partial",2,IF(V646="Substantial",3,IF(V646="Highly Effective",4,0)))))/2,0)))</f>
        <v/>
      </c>
      <c r="Y646" s="26" t="str">
        <f t="shared" ref="Y646:Y709" si="106">IF(OR(W646="",X646=""),"",W646*X646)</f>
        <v/>
      </c>
      <c r="Z646" s="26" t="str">
        <f t="shared" ref="Z646:Z709" si="107">IF(Y646="","",IF(Y646&lt;=4,"Low",IF(Y646&lt;=9,"Medium",IF(Y646&lt;=15,"High","Critical"))))</f>
        <v/>
      </c>
      <c r="AA646" s="26" t="str">
        <f t="shared" ref="AA646:AA709" si="108">IF(OR(L646="",Y646=""),"",IF(Y646&lt;L646,"Reduced by "&amp;(L646-Y646)&amp;" pts",IF(Y646=L646,"No Change","Increased by "&amp;(Y646-L646)&amp;" pts")))</f>
        <v/>
      </c>
      <c r="AB646" s="5" t="str">
        <f t="shared" ref="AB646:AB709" si="109">IF(Y646="","",Y646+(ROW()/10000000))</f>
        <v/>
      </c>
    </row>
    <row r="647" spans="1:28" ht="12" customHeight="1">
      <c r="A647" s="22">
        <v>655</v>
      </c>
      <c r="B647" s="30"/>
      <c r="C647" s="30"/>
      <c r="D647" s="29"/>
      <c r="E647" s="29"/>
      <c r="F647" s="29"/>
      <c r="G647" s="29"/>
      <c r="H647" s="29"/>
      <c r="I647" s="25" t="str">
        <f t="shared" si="100"/>
        <v/>
      </c>
      <c r="J647" s="29"/>
      <c r="K647" s="25" t="str">
        <f t="shared" si="101"/>
        <v/>
      </c>
      <c r="L647" s="26" t="str">
        <f t="shared" si="102"/>
        <v/>
      </c>
      <c r="M647" s="29"/>
      <c r="N647" s="29"/>
      <c r="O647" s="29"/>
      <c r="P647" s="29"/>
      <c r="Q647" s="29"/>
      <c r="R647" s="29"/>
      <c r="S647" s="29"/>
      <c r="T647" s="29"/>
      <c r="U647" s="26" t="str">
        <f t="shared" si="103"/>
        <v/>
      </c>
      <c r="V647" s="26"/>
      <c r="W647" s="26" t="str">
        <f t="shared" si="104"/>
        <v/>
      </c>
      <c r="X647" s="26" t="str">
        <f t="shared" si="105"/>
        <v/>
      </c>
      <c r="Y647" s="26" t="str">
        <f t="shared" si="106"/>
        <v/>
      </c>
      <c r="Z647" s="26" t="str">
        <f t="shared" si="107"/>
        <v/>
      </c>
      <c r="AA647" s="26" t="str">
        <f t="shared" si="108"/>
        <v/>
      </c>
      <c r="AB647" s="5" t="str">
        <f t="shared" si="109"/>
        <v/>
      </c>
    </row>
    <row r="648" spans="1:28" ht="12" customHeight="1">
      <c r="A648" s="22">
        <v>656</v>
      </c>
      <c r="B648" s="30"/>
      <c r="C648" s="30"/>
      <c r="D648" s="29"/>
      <c r="E648" s="29"/>
      <c r="F648" s="29"/>
      <c r="G648" s="29"/>
      <c r="H648" s="29"/>
      <c r="I648" s="25" t="str">
        <f t="shared" si="100"/>
        <v/>
      </c>
      <c r="J648" s="29"/>
      <c r="K648" s="25" t="str">
        <f t="shared" si="101"/>
        <v/>
      </c>
      <c r="L648" s="26" t="str">
        <f t="shared" si="102"/>
        <v/>
      </c>
      <c r="M648" s="29"/>
      <c r="N648" s="29"/>
      <c r="O648" s="29"/>
      <c r="P648" s="29"/>
      <c r="Q648" s="29"/>
      <c r="R648" s="29"/>
      <c r="S648" s="29"/>
      <c r="T648" s="29"/>
      <c r="U648" s="26" t="str">
        <f t="shared" si="103"/>
        <v/>
      </c>
      <c r="V648" s="26"/>
      <c r="W648" s="26" t="str">
        <f t="shared" si="104"/>
        <v/>
      </c>
      <c r="X648" s="26" t="str">
        <f t="shared" si="105"/>
        <v/>
      </c>
      <c r="Y648" s="26" t="str">
        <f t="shared" si="106"/>
        <v/>
      </c>
      <c r="Z648" s="26" t="str">
        <f t="shared" si="107"/>
        <v/>
      </c>
      <c r="AA648" s="26" t="str">
        <f t="shared" si="108"/>
        <v/>
      </c>
      <c r="AB648" s="5" t="str">
        <f t="shared" si="109"/>
        <v/>
      </c>
    </row>
    <row r="649" spans="1:28" ht="12" customHeight="1">
      <c r="A649" s="22">
        <v>657</v>
      </c>
      <c r="B649" s="30"/>
      <c r="C649" s="30"/>
      <c r="D649" s="29"/>
      <c r="E649" s="29"/>
      <c r="F649" s="29"/>
      <c r="G649" s="29"/>
      <c r="H649" s="29"/>
      <c r="I649" s="25" t="str">
        <f t="shared" si="100"/>
        <v/>
      </c>
      <c r="J649" s="29"/>
      <c r="K649" s="25" t="str">
        <f t="shared" si="101"/>
        <v/>
      </c>
      <c r="L649" s="26" t="str">
        <f t="shared" si="102"/>
        <v/>
      </c>
      <c r="M649" s="29"/>
      <c r="N649" s="29"/>
      <c r="O649" s="29"/>
      <c r="P649" s="29"/>
      <c r="Q649" s="29"/>
      <c r="R649" s="29"/>
      <c r="S649" s="29"/>
      <c r="T649" s="29"/>
      <c r="U649" s="26" t="str">
        <f t="shared" si="103"/>
        <v/>
      </c>
      <c r="V649" s="26"/>
      <c r="W649" s="26" t="str">
        <f t="shared" si="104"/>
        <v/>
      </c>
      <c r="X649" s="26" t="str">
        <f t="shared" si="105"/>
        <v/>
      </c>
      <c r="Y649" s="26" t="str">
        <f t="shared" si="106"/>
        <v/>
      </c>
      <c r="Z649" s="26" t="str">
        <f t="shared" si="107"/>
        <v/>
      </c>
      <c r="AA649" s="26" t="str">
        <f t="shared" si="108"/>
        <v/>
      </c>
      <c r="AB649" s="5" t="str">
        <f t="shared" si="109"/>
        <v/>
      </c>
    </row>
    <row r="650" spans="1:28" ht="12" customHeight="1">
      <c r="A650" s="22">
        <v>658</v>
      </c>
      <c r="B650" s="30"/>
      <c r="C650" s="30"/>
      <c r="D650" s="29"/>
      <c r="E650" s="29"/>
      <c r="F650" s="29"/>
      <c r="G650" s="29"/>
      <c r="H650" s="29"/>
      <c r="I650" s="25" t="str">
        <f t="shared" si="100"/>
        <v/>
      </c>
      <c r="J650" s="29"/>
      <c r="K650" s="25" t="str">
        <f t="shared" si="101"/>
        <v/>
      </c>
      <c r="L650" s="26" t="str">
        <f t="shared" si="102"/>
        <v/>
      </c>
      <c r="M650" s="29"/>
      <c r="N650" s="29"/>
      <c r="O650" s="29"/>
      <c r="P650" s="29"/>
      <c r="Q650" s="29"/>
      <c r="R650" s="29"/>
      <c r="S650" s="29"/>
      <c r="T650" s="29"/>
      <c r="U650" s="26" t="str">
        <f t="shared" si="103"/>
        <v/>
      </c>
      <c r="V650" s="26"/>
      <c r="W650" s="26" t="str">
        <f t="shared" si="104"/>
        <v/>
      </c>
      <c r="X650" s="26" t="str">
        <f t="shared" si="105"/>
        <v/>
      </c>
      <c r="Y650" s="26" t="str">
        <f t="shared" si="106"/>
        <v/>
      </c>
      <c r="Z650" s="26" t="str">
        <f t="shared" si="107"/>
        <v/>
      </c>
      <c r="AA650" s="26" t="str">
        <f t="shared" si="108"/>
        <v/>
      </c>
      <c r="AB650" s="5" t="str">
        <f t="shared" si="109"/>
        <v/>
      </c>
    </row>
    <row r="651" spans="1:28" ht="12" customHeight="1">
      <c r="A651" s="22">
        <v>659</v>
      </c>
      <c r="B651" s="30"/>
      <c r="C651" s="30"/>
      <c r="D651" s="29"/>
      <c r="E651" s="29"/>
      <c r="F651" s="29"/>
      <c r="G651" s="29"/>
      <c r="H651" s="29"/>
      <c r="I651" s="25" t="str">
        <f t="shared" si="100"/>
        <v/>
      </c>
      <c r="J651" s="29"/>
      <c r="K651" s="25" t="str">
        <f t="shared" si="101"/>
        <v/>
      </c>
      <c r="L651" s="26" t="str">
        <f t="shared" si="102"/>
        <v/>
      </c>
      <c r="M651" s="29"/>
      <c r="N651" s="29"/>
      <c r="O651" s="29"/>
      <c r="P651" s="29"/>
      <c r="Q651" s="29"/>
      <c r="R651" s="29"/>
      <c r="S651" s="29"/>
      <c r="T651" s="29"/>
      <c r="U651" s="26" t="str">
        <f t="shared" si="103"/>
        <v/>
      </c>
      <c r="V651" s="26"/>
      <c r="W651" s="26" t="str">
        <f t="shared" si="104"/>
        <v/>
      </c>
      <c r="X651" s="26" t="str">
        <f t="shared" si="105"/>
        <v/>
      </c>
      <c r="Y651" s="26" t="str">
        <f t="shared" si="106"/>
        <v/>
      </c>
      <c r="Z651" s="26" t="str">
        <f t="shared" si="107"/>
        <v/>
      </c>
      <c r="AA651" s="26" t="str">
        <f t="shared" si="108"/>
        <v/>
      </c>
      <c r="AB651" s="5" t="str">
        <f t="shared" si="109"/>
        <v/>
      </c>
    </row>
    <row r="652" spans="1:28" ht="12" customHeight="1">
      <c r="A652" s="22">
        <v>660</v>
      </c>
      <c r="B652" s="30"/>
      <c r="C652" s="30"/>
      <c r="D652" s="29"/>
      <c r="E652" s="29"/>
      <c r="F652" s="29"/>
      <c r="G652" s="29"/>
      <c r="H652" s="29"/>
      <c r="I652" s="25" t="str">
        <f t="shared" si="100"/>
        <v/>
      </c>
      <c r="J652" s="29"/>
      <c r="K652" s="25" t="str">
        <f t="shared" si="101"/>
        <v/>
      </c>
      <c r="L652" s="26" t="str">
        <f t="shared" si="102"/>
        <v/>
      </c>
      <c r="M652" s="29"/>
      <c r="N652" s="29"/>
      <c r="O652" s="29"/>
      <c r="P652" s="29"/>
      <c r="Q652" s="29"/>
      <c r="R652" s="29"/>
      <c r="S652" s="29"/>
      <c r="T652" s="29"/>
      <c r="U652" s="26" t="str">
        <f t="shared" si="103"/>
        <v/>
      </c>
      <c r="V652" s="26"/>
      <c r="W652" s="26" t="str">
        <f t="shared" si="104"/>
        <v/>
      </c>
      <c r="X652" s="26" t="str">
        <f t="shared" si="105"/>
        <v/>
      </c>
      <c r="Y652" s="26" t="str">
        <f t="shared" si="106"/>
        <v/>
      </c>
      <c r="Z652" s="26" t="str">
        <f t="shared" si="107"/>
        <v/>
      </c>
      <c r="AA652" s="26" t="str">
        <f t="shared" si="108"/>
        <v/>
      </c>
      <c r="AB652" s="5" t="str">
        <f t="shared" si="109"/>
        <v/>
      </c>
    </row>
    <row r="653" spans="1:28" ht="12" customHeight="1">
      <c r="A653" s="22">
        <v>661</v>
      </c>
      <c r="B653" s="30"/>
      <c r="C653" s="30"/>
      <c r="D653" s="29"/>
      <c r="E653" s="29"/>
      <c r="F653" s="29"/>
      <c r="G653" s="29"/>
      <c r="H653" s="29"/>
      <c r="I653" s="25" t="str">
        <f t="shared" si="100"/>
        <v/>
      </c>
      <c r="J653" s="29"/>
      <c r="K653" s="25" t="str">
        <f t="shared" si="101"/>
        <v/>
      </c>
      <c r="L653" s="26" t="str">
        <f t="shared" si="102"/>
        <v/>
      </c>
      <c r="M653" s="29"/>
      <c r="N653" s="29"/>
      <c r="O653" s="29"/>
      <c r="P653" s="29"/>
      <c r="Q653" s="29"/>
      <c r="R653" s="29"/>
      <c r="S653" s="29"/>
      <c r="T653" s="29"/>
      <c r="U653" s="26" t="str">
        <f t="shared" si="103"/>
        <v/>
      </c>
      <c r="V653" s="26"/>
      <c r="W653" s="26" t="str">
        <f t="shared" si="104"/>
        <v/>
      </c>
      <c r="X653" s="26" t="str">
        <f t="shared" si="105"/>
        <v/>
      </c>
      <c r="Y653" s="26" t="str">
        <f t="shared" si="106"/>
        <v/>
      </c>
      <c r="Z653" s="26" t="str">
        <f t="shared" si="107"/>
        <v/>
      </c>
      <c r="AA653" s="26" t="str">
        <f t="shared" si="108"/>
        <v/>
      </c>
      <c r="AB653" s="5" t="str">
        <f t="shared" si="109"/>
        <v/>
      </c>
    </row>
    <row r="654" spans="1:28" ht="12" customHeight="1">
      <c r="A654" s="22">
        <v>662</v>
      </c>
      <c r="B654" s="30"/>
      <c r="C654" s="30"/>
      <c r="D654" s="29"/>
      <c r="E654" s="29"/>
      <c r="F654" s="29"/>
      <c r="G654" s="29"/>
      <c r="H654" s="29"/>
      <c r="I654" s="25" t="str">
        <f t="shared" si="100"/>
        <v/>
      </c>
      <c r="J654" s="29"/>
      <c r="K654" s="25" t="str">
        <f t="shared" si="101"/>
        <v/>
      </c>
      <c r="L654" s="26" t="str">
        <f t="shared" si="102"/>
        <v/>
      </c>
      <c r="M654" s="29"/>
      <c r="N654" s="29"/>
      <c r="O654" s="29"/>
      <c r="P654" s="29"/>
      <c r="Q654" s="29"/>
      <c r="R654" s="29"/>
      <c r="S654" s="29"/>
      <c r="T654" s="29"/>
      <c r="U654" s="26" t="str">
        <f t="shared" si="103"/>
        <v/>
      </c>
      <c r="V654" s="26"/>
      <c r="W654" s="26" t="str">
        <f t="shared" si="104"/>
        <v/>
      </c>
      <c r="X654" s="26" t="str">
        <f t="shared" si="105"/>
        <v/>
      </c>
      <c r="Y654" s="26" t="str">
        <f t="shared" si="106"/>
        <v/>
      </c>
      <c r="Z654" s="26" t="str">
        <f t="shared" si="107"/>
        <v/>
      </c>
      <c r="AA654" s="26" t="str">
        <f t="shared" si="108"/>
        <v/>
      </c>
      <c r="AB654" s="5" t="str">
        <f t="shared" si="109"/>
        <v/>
      </c>
    </row>
    <row r="655" spans="1:28" ht="12" customHeight="1">
      <c r="A655" s="22">
        <v>663</v>
      </c>
      <c r="B655" s="30"/>
      <c r="C655" s="30"/>
      <c r="D655" s="29"/>
      <c r="E655" s="29"/>
      <c r="F655" s="29"/>
      <c r="G655" s="29"/>
      <c r="H655" s="29"/>
      <c r="I655" s="25" t="str">
        <f t="shared" si="100"/>
        <v/>
      </c>
      <c r="J655" s="29"/>
      <c r="K655" s="25" t="str">
        <f t="shared" si="101"/>
        <v/>
      </c>
      <c r="L655" s="26" t="str">
        <f t="shared" si="102"/>
        <v/>
      </c>
      <c r="M655" s="29"/>
      <c r="N655" s="29"/>
      <c r="O655" s="29"/>
      <c r="P655" s="29"/>
      <c r="Q655" s="29"/>
      <c r="R655" s="29"/>
      <c r="S655" s="29"/>
      <c r="T655" s="29"/>
      <c r="U655" s="26" t="str">
        <f t="shared" si="103"/>
        <v/>
      </c>
      <c r="V655" s="26"/>
      <c r="W655" s="26" t="str">
        <f t="shared" si="104"/>
        <v/>
      </c>
      <c r="X655" s="26" t="str">
        <f t="shared" si="105"/>
        <v/>
      </c>
      <c r="Y655" s="26" t="str">
        <f t="shared" si="106"/>
        <v/>
      </c>
      <c r="Z655" s="26" t="str">
        <f t="shared" si="107"/>
        <v/>
      </c>
      <c r="AA655" s="26" t="str">
        <f t="shared" si="108"/>
        <v/>
      </c>
      <c r="AB655" s="5" t="str">
        <f t="shared" si="109"/>
        <v/>
      </c>
    </row>
    <row r="656" spans="1:28" ht="12" customHeight="1">
      <c r="A656" s="22">
        <v>664</v>
      </c>
      <c r="B656" s="30"/>
      <c r="C656" s="30"/>
      <c r="D656" s="29"/>
      <c r="E656" s="29"/>
      <c r="F656" s="29"/>
      <c r="G656" s="29"/>
      <c r="H656" s="29"/>
      <c r="I656" s="25" t="str">
        <f t="shared" si="100"/>
        <v/>
      </c>
      <c r="J656" s="29"/>
      <c r="K656" s="25" t="str">
        <f t="shared" si="101"/>
        <v/>
      </c>
      <c r="L656" s="26" t="str">
        <f t="shared" si="102"/>
        <v/>
      </c>
      <c r="M656" s="29"/>
      <c r="N656" s="29"/>
      <c r="O656" s="29"/>
      <c r="P656" s="29"/>
      <c r="Q656" s="29"/>
      <c r="R656" s="29"/>
      <c r="S656" s="29"/>
      <c r="T656" s="29"/>
      <c r="U656" s="26" t="str">
        <f t="shared" si="103"/>
        <v/>
      </c>
      <c r="V656" s="26"/>
      <c r="W656" s="26" t="str">
        <f t="shared" si="104"/>
        <v/>
      </c>
      <c r="X656" s="26" t="str">
        <f t="shared" si="105"/>
        <v/>
      </c>
      <c r="Y656" s="26" t="str">
        <f t="shared" si="106"/>
        <v/>
      </c>
      <c r="Z656" s="26" t="str">
        <f t="shared" si="107"/>
        <v/>
      </c>
      <c r="AA656" s="26" t="str">
        <f t="shared" si="108"/>
        <v/>
      </c>
      <c r="AB656" s="5" t="str">
        <f t="shared" si="109"/>
        <v/>
      </c>
    </row>
    <row r="657" spans="1:28" ht="12" customHeight="1">
      <c r="A657" s="22">
        <v>665</v>
      </c>
      <c r="B657" s="30"/>
      <c r="C657" s="30"/>
      <c r="D657" s="29"/>
      <c r="E657" s="29"/>
      <c r="F657" s="29"/>
      <c r="G657" s="29"/>
      <c r="H657" s="29"/>
      <c r="I657" s="25" t="str">
        <f t="shared" si="100"/>
        <v/>
      </c>
      <c r="J657" s="29"/>
      <c r="K657" s="25" t="str">
        <f t="shared" si="101"/>
        <v/>
      </c>
      <c r="L657" s="26" t="str">
        <f t="shared" si="102"/>
        <v/>
      </c>
      <c r="M657" s="29"/>
      <c r="N657" s="29"/>
      <c r="O657" s="29"/>
      <c r="P657" s="29"/>
      <c r="Q657" s="29"/>
      <c r="R657" s="29"/>
      <c r="S657" s="29"/>
      <c r="T657" s="29"/>
      <c r="U657" s="26" t="str">
        <f t="shared" si="103"/>
        <v/>
      </c>
      <c r="V657" s="26"/>
      <c r="W657" s="26" t="str">
        <f t="shared" si="104"/>
        <v/>
      </c>
      <c r="X657" s="26" t="str">
        <f t="shared" si="105"/>
        <v/>
      </c>
      <c r="Y657" s="26" t="str">
        <f t="shared" si="106"/>
        <v/>
      </c>
      <c r="Z657" s="26" t="str">
        <f t="shared" si="107"/>
        <v/>
      </c>
      <c r="AA657" s="26" t="str">
        <f t="shared" si="108"/>
        <v/>
      </c>
      <c r="AB657" s="5" t="str">
        <f t="shared" si="109"/>
        <v/>
      </c>
    </row>
    <row r="658" spans="1:28" ht="12" customHeight="1">
      <c r="A658" s="22">
        <v>666</v>
      </c>
      <c r="B658" s="30"/>
      <c r="C658" s="30"/>
      <c r="D658" s="29"/>
      <c r="E658" s="29"/>
      <c r="F658" s="29"/>
      <c r="G658" s="29"/>
      <c r="H658" s="29"/>
      <c r="I658" s="25" t="str">
        <f t="shared" si="100"/>
        <v/>
      </c>
      <c r="J658" s="29"/>
      <c r="K658" s="25" t="str">
        <f t="shared" si="101"/>
        <v/>
      </c>
      <c r="L658" s="26" t="str">
        <f t="shared" si="102"/>
        <v/>
      </c>
      <c r="M658" s="29"/>
      <c r="N658" s="29"/>
      <c r="O658" s="29"/>
      <c r="P658" s="29"/>
      <c r="Q658" s="29"/>
      <c r="R658" s="29"/>
      <c r="S658" s="29"/>
      <c r="T658" s="29"/>
      <c r="U658" s="26" t="str">
        <f t="shared" si="103"/>
        <v/>
      </c>
      <c r="V658" s="26"/>
      <c r="W658" s="26" t="str">
        <f t="shared" si="104"/>
        <v/>
      </c>
      <c r="X658" s="26" t="str">
        <f t="shared" si="105"/>
        <v/>
      </c>
      <c r="Y658" s="26" t="str">
        <f t="shared" si="106"/>
        <v/>
      </c>
      <c r="Z658" s="26" t="str">
        <f t="shared" si="107"/>
        <v/>
      </c>
      <c r="AA658" s="26" t="str">
        <f t="shared" si="108"/>
        <v/>
      </c>
      <c r="AB658" s="5" t="str">
        <f t="shared" si="109"/>
        <v/>
      </c>
    </row>
    <row r="659" spans="1:28" ht="12" customHeight="1">
      <c r="A659" s="22">
        <v>667</v>
      </c>
      <c r="B659" s="30"/>
      <c r="C659" s="30"/>
      <c r="D659" s="29"/>
      <c r="E659" s="29"/>
      <c r="F659" s="29"/>
      <c r="G659" s="29"/>
      <c r="H659" s="29"/>
      <c r="I659" s="25" t="str">
        <f t="shared" si="100"/>
        <v/>
      </c>
      <c r="J659" s="29"/>
      <c r="K659" s="25" t="str">
        <f t="shared" si="101"/>
        <v/>
      </c>
      <c r="L659" s="26" t="str">
        <f t="shared" si="102"/>
        <v/>
      </c>
      <c r="M659" s="29"/>
      <c r="N659" s="29"/>
      <c r="O659" s="29"/>
      <c r="P659" s="29"/>
      <c r="Q659" s="29"/>
      <c r="R659" s="29"/>
      <c r="S659" s="29"/>
      <c r="T659" s="29"/>
      <c r="U659" s="26" t="str">
        <f t="shared" si="103"/>
        <v/>
      </c>
      <c r="V659" s="26"/>
      <c r="W659" s="26" t="str">
        <f t="shared" si="104"/>
        <v/>
      </c>
      <c r="X659" s="26" t="str">
        <f t="shared" si="105"/>
        <v/>
      </c>
      <c r="Y659" s="26" t="str">
        <f t="shared" si="106"/>
        <v/>
      </c>
      <c r="Z659" s="26" t="str">
        <f t="shared" si="107"/>
        <v/>
      </c>
      <c r="AA659" s="26" t="str">
        <f t="shared" si="108"/>
        <v/>
      </c>
      <c r="AB659" s="5" t="str">
        <f t="shared" si="109"/>
        <v/>
      </c>
    </row>
    <row r="660" spans="1:28" ht="12" customHeight="1">
      <c r="A660" s="22">
        <v>668</v>
      </c>
      <c r="B660" s="30"/>
      <c r="C660" s="30"/>
      <c r="D660" s="29"/>
      <c r="E660" s="29"/>
      <c r="F660" s="29"/>
      <c r="G660" s="29"/>
      <c r="H660" s="29"/>
      <c r="I660" s="25" t="str">
        <f t="shared" si="100"/>
        <v/>
      </c>
      <c r="J660" s="29"/>
      <c r="K660" s="25" t="str">
        <f t="shared" si="101"/>
        <v/>
      </c>
      <c r="L660" s="26" t="str">
        <f t="shared" si="102"/>
        <v/>
      </c>
      <c r="M660" s="29"/>
      <c r="N660" s="29"/>
      <c r="O660" s="29"/>
      <c r="P660" s="29"/>
      <c r="Q660" s="29"/>
      <c r="R660" s="29"/>
      <c r="S660" s="29"/>
      <c r="T660" s="29"/>
      <c r="U660" s="26" t="str">
        <f t="shared" si="103"/>
        <v/>
      </c>
      <c r="V660" s="26"/>
      <c r="W660" s="26" t="str">
        <f t="shared" si="104"/>
        <v/>
      </c>
      <c r="X660" s="26" t="str">
        <f t="shared" si="105"/>
        <v/>
      </c>
      <c r="Y660" s="26" t="str">
        <f t="shared" si="106"/>
        <v/>
      </c>
      <c r="Z660" s="26" t="str">
        <f t="shared" si="107"/>
        <v/>
      </c>
      <c r="AA660" s="26" t="str">
        <f t="shared" si="108"/>
        <v/>
      </c>
      <c r="AB660" s="5" t="str">
        <f t="shared" si="109"/>
        <v/>
      </c>
    </row>
    <row r="661" spans="1:28" ht="12" customHeight="1">
      <c r="A661" s="22">
        <v>669</v>
      </c>
      <c r="B661" s="30"/>
      <c r="C661" s="30"/>
      <c r="D661" s="29"/>
      <c r="E661" s="29"/>
      <c r="F661" s="29"/>
      <c r="G661" s="29"/>
      <c r="H661" s="29"/>
      <c r="I661" s="25" t="str">
        <f t="shared" si="100"/>
        <v/>
      </c>
      <c r="J661" s="29"/>
      <c r="K661" s="25" t="str">
        <f t="shared" si="101"/>
        <v/>
      </c>
      <c r="L661" s="26" t="str">
        <f t="shared" si="102"/>
        <v/>
      </c>
      <c r="M661" s="29"/>
      <c r="N661" s="29"/>
      <c r="O661" s="29"/>
      <c r="P661" s="29"/>
      <c r="Q661" s="29"/>
      <c r="R661" s="29"/>
      <c r="S661" s="29"/>
      <c r="T661" s="29"/>
      <c r="U661" s="26" t="str">
        <f t="shared" si="103"/>
        <v/>
      </c>
      <c r="V661" s="26"/>
      <c r="W661" s="26" t="str">
        <f t="shared" si="104"/>
        <v/>
      </c>
      <c r="X661" s="26" t="str">
        <f t="shared" si="105"/>
        <v/>
      </c>
      <c r="Y661" s="26" t="str">
        <f t="shared" si="106"/>
        <v/>
      </c>
      <c r="Z661" s="26" t="str">
        <f t="shared" si="107"/>
        <v/>
      </c>
      <c r="AA661" s="26" t="str">
        <f t="shared" si="108"/>
        <v/>
      </c>
      <c r="AB661" s="5" t="str">
        <f t="shared" si="109"/>
        <v/>
      </c>
    </row>
    <row r="662" spans="1:28" ht="12" customHeight="1">
      <c r="A662" s="22">
        <v>670</v>
      </c>
      <c r="B662" s="30"/>
      <c r="C662" s="30"/>
      <c r="D662" s="29"/>
      <c r="E662" s="29"/>
      <c r="F662" s="29"/>
      <c r="G662" s="29"/>
      <c r="H662" s="29"/>
      <c r="I662" s="25" t="str">
        <f t="shared" si="100"/>
        <v/>
      </c>
      <c r="J662" s="29"/>
      <c r="K662" s="25" t="str">
        <f t="shared" si="101"/>
        <v/>
      </c>
      <c r="L662" s="26" t="str">
        <f t="shared" si="102"/>
        <v/>
      </c>
      <c r="M662" s="29"/>
      <c r="N662" s="29"/>
      <c r="O662" s="29"/>
      <c r="P662" s="29"/>
      <c r="Q662" s="29"/>
      <c r="R662" s="29"/>
      <c r="S662" s="29"/>
      <c r="T662" s="29"/>
      <c r="U662" s="26" t="str">
        <f t="shared" si="103"/>
        <v/>
      </c>
      <c r="V662" s="26"/>
      <c r="W662" s="26" t="str">
        <f t="shared" si="104"/>
        <v/>
      </c>
      <c r="X662" s="26" t="str">
        <f t="shared" si="105"/>
        <v/>
      </c>
      <c r="Y662" s="26" t="str">
        <f t="shared" si="106"/>
        <v/>
      </c>
      <c r="Z662" s="26" t="str">
        <f t="shared" si="107"/>
        <v/>
      </c>
      <c r="AA662" s="26" t="str">
        <f t="shared" si="108"/>
        <v/>
      </c>
      <c r="AB662" s="5" t="str">
        <f t="shared" si="109"/>
        <v/>
      </c>
    </row>
    <row r="663" spans="1:28" ht="12" customHeight="1">
      <c r="A663" s="22">
        <v>671</v>
      </c>
      <c r="B663" s="30"/>
      <c r="C663" s="30"/>
      <c r="D663" s="29"/>
      <c r="E663" s="29"/>
      <c r="F663" s="29"/>
      <c r="G663" s="29"/>
      <c r="H663" s="29"/>
      <c r="I663" s="25" t="str">
        <f t="shared" si="100"/>
        <v/>
      </c>
      <c r="J663" s="29"/>
      <c r="K663" s="25" t="str">
        <f t="shared" si="101"/>
        <v/>
      </c>
      <c r="L663" s="26" t="str">
        <f t="shared" si="102"/>
        <v/>
      </c>
      <c r="M663" s="29"/>
      <c r="N663" s="29"/>
      <c r="O663" s="29"/>
      <c r="P663" s="29"/>
      <c r="Q663" s="29"/>
      <c r="R663" s="29"/>
      <c r="S663" s="29"/>
      <c r="T663" s="29"/>
      <c r="U663" s="26" t="str">
        <f t="shared" si="103"/>
        <v/>
      </c>
      <c r="V663" s="26"/>
      <c r="W663" s="26" t="str">
        <f t="shared" si="104"/>
        <v/>
      </c>
      <c r="X663" s="26" t="str">
        <f t="shared" si="105"/>
        <v/>
      </c>
      <c r="Y663" s="26" t="str">
        <f t="shared" si="106"/>
        <v/>
      </c>
      <c r="Z663" s="26" t="str">
        <f t="shared" si="107"/>
        <v/>
      </c>
      <c r="AA663" s="26" t="str">
        <f t="shared" si="108"/>
        <v/>
      </c>
      <c r="AB663" s="5" t="str">
        <f t="shared" si="109"/>
        <v/>
      </c>
    </row>
    <row r="664" spans="1:28" ht="12" customHeight="1">
      <c r="A664" s="22">
        <v>672</v>
      </c>
      <c r="B664" s="30"/>
      <c r="C664" s="30"/>
      <c r="D664" s="29"/>
      <c r="E664" s="29"/>
      <c r="F664" s="29"/>
      <c r="G664" s="29"/>
      <c r="H664" s="29"/>
      <c r="I664" s="25" t="str">
        <f t="shared" si="100"/>
        <v/>
      </c>
      <c r="J664" s="29"/>
      <c r="K664" s="25" t="str">
        <f t="shared" si="101"/>
        <v/>
      </c>
      <c r="L664" s="26" t="str">
        <f t="shared" si="102"/>
        <v/>
      </c>
      <c r="M664" s="29"/>
      <c r="N664" s="29"/>
      <c r="O664" s="29"/>
      <c r="P664" s="29"/>
      <c r="Q664" s="29"/>
      <c r="R664" s="29"/>
      <c r="S664" s="29"/>
      <c r="T664" s="29"/>
      <c r="U664" s="26" t="str">
        <f t="shared" si="103"/>
        <v/>
      </c>
      <c r="V664" s="26"/>
      <c r="W664" s="26" t="str">
        <f t="shared" si="104"/>
        <v/>
      </c>
      <c r="X664" s="26" t="str">
        <f t="shared" si="105"/>
        <v/>
      </c>
      <c r="Y664" s="26" t="str">
        <f t="shared" si="106"/>
        <v/>
      </c>
      <c r="Z664" s="26" t="str">
        <f t="shared" si="107"/>
        <v/>
      </c>
      <c r="AA664" s="26" t="str">
        <f t="shared" si="108"/>
        <v/>
      </c>
      <c r="AB664" s="5" t="str">
        <f t="shared" si="109"/>
        <v/>
      </c>
    </row>
    <row r="665" spans="1:28" ht="12" customHeight="1">
      <c r="A665" s="22">
        <v>673</v>
      </c>
      <c r="B665" s="30"/>
      <c r="C665" s="30"/>
      <c r="D665" s="29"/>
      <c r="E665" s="29"/>
      <c r="F665" s="29"/>
      <c r="G665" s="29"/>
      <c r="H665" s="29"/>
      <c r="I665" s="25" t="str">
        <f t="shared" si="100"/>
        <v/>
      </c>
      <c r="J665" s="29"/>
      <c r="K665" s="25" t="str">
        <f t="shared" si="101"/>
        <v/>
      </c>
      <c r="L665" s="26" t="str">
        <f t="shared" si="102"/>
        <v/>
      </c>
      <c r="M665" s="29"/>
      <c r="N665" s="29"/>
      <c r="O665" s="29"/>
      <c r="P665" s="29"/>
      <c r="Q665" s="29"/>
      <c r="R665" s="29"/>
      <c r="S665" s="29"/>
      <c r="T665" s="29"/>
      <c r="U665" s="26" t="str">
        <f t="shared" si="103"/>
        <v/>
      </c>
      <c r="V665" s="26"/>
      <c r="W665" s="26" t="str">
        <f t="shared" si="104"/>
        <v/>
      </c>
      <c r="X665" s="26" t="str">
        <f t="shared" si="105"/>
        <v/>
      </c>
      <c r="Y665" s="26" t="str">
        <f t="shared" si="106"/>
        <v/>
      </c>
      <c r="Z665" s="26" t="str">
        <f t="shared" si="107"/>
        <v/>
      </c>
      <c r="AA665" s="26" t="str">
        <f t="shared" si="108"/>
        <v/>
      </c>
      <c r="AB665" s="5" t="str">
        <f t="shared" si="109"/>
        <v/>
      </c>
    </row>
    <row r="666" spans="1:28" ht="12" customHeight="1">
      <c r="A666" s="22">
        <v>674</v>
      </c>
      <c r="B666" s="30"/>
      <c r="C666" s="30"/>
      <c r="D666" s="29"/>
      <c r="E666" s="29"/>
      <c r="F666" s="29"/>
      <c r="G666" s="29"/>
      <c r="H666" s="29"/>
      <c r="I666" s="25" t="str">
        <f t="shared" si="100"/>
        <v/>
      </c>
      <c r="J666" s="29"/>
      <c r="K666" s="25" t="str">
        <f t="shared" si="101"/>
        <v/>
      </c>
      <c r="L666" s="26" t="str">
        <f t="shared" si="102"/>
        <v/>
      </c>
      <c r="M666" s="29"/>
      <c r="N666" s="29"/>
      <c r="O666" s="29"/>
      <c r="P666" s="29"/>
      <c r="Q666" s="29"/>
      <c r="R666" s="29"/>
      <c r="S666" s="29"/>
      <c r="T666" s="29"/>
      <c r="U666" s="26" t="str">
        <f t="shared" si="103"/>
        <v/>
      </c>
      <c r="V666" s="26"/>
      <c r="W666" s="26" t="str">
        <f t="shared" si="104"/>
        <v/>
      </c>
      <c r="X666" s="26" t="str">
        <f t="shared" si="105"/>
        <v/>
      </c>
      <c r="Y666" s="26" t="str">
        <f t="shared" si="106"/>
        <v/>
      </c>
      <c r="Z666" s="26" t="str">
        <f t="shared" si="107"/>
        <v/>
      </c>
      <c r="AA666" s="26" t="str">
        <f t="shared" si="108"/>
        <v/>
      </c>
      <c r="AB666" s="5" t="str">
        <f t="shared" si="109"/>
        <v/>
      </c>
    </row>
    <row r="667" spans="1:28" ht="12" customHeight="1">
      <c r="A667" s="22">
        <v>675</v>
      </c>
      <c r="B667" s="30"/>
      <c r="C667" s="30"/>
      <c r="D667" s="29"/>
      <c r="E667" s="29"/>
      <c r="F667" s="29"/>
      <c r="G667" s="29"/>
      <c r="H667" s="29"/>
      <c r="I667" s="25" t="str">
        <f t="shared" si="100"/>
        <v/>
      </c>
      <c r="J667" s="29"/>
      <c r="K667" s="25" t="str">
        <f t="shared" si="101"/>
        <v/>
      </c>
      <c r="L667" s="26" t="str">
        <f t="shared" si="102"/>
        <v/>
      </c>
      <c r="M667" s="29"/>
      <c r="N667" s="29"/>
      <c r="O667" s="29"/>
      <c r="P667" s="29"/>
      <c r="Q667" s="29"/>
      <c r="R667" s="29"/>
      <c r="S667" s="29"/>
      <c r="T667" s="29"/>
      <c r="U667" s="26" t="str">
        <f t="shared" si="103"/>
        <v/>
      </c>
      <c r="V667" s="26"/>
      <c r="W667" s="26" t="str">
        <f t="shared" si="104"/>
        <v/>
      </c>
      <c r="X667" s="26" t="str">
        <f t="shared" si="105"/>
        <v/>
      </c>
      <c r="Y667" s="26" t="str">
        <f t="shared" si="106"/>
        <v/>
      </c>
      <c r="Z667" s="26" t="str">
        <f t="shared" si="107"/>
        <v/>
      </c>
      <c r="AA667" s="26" t="str">
        <f t="shared" si="108"/>
        <v/>
      </c>
      <c r="AB667" s="5" t="str">
        <f t="shared" si="109"/>
        <v/>
      </c>
    </row>
    <row r="668" spans="1:28" ht="12" customHeight="1">
      <c r="A668" s="22">
        <v>676</v>
      </c>
      <c r="B668" s="30"/>
      <c r="C668" s="30"/>
      <c r="D668" s="29"/>
      <c r="E668" s="29"/>
      <c r="F668" s="29"/>
      <c r="G668" s="29"/>
      <c r="H668" s="29"/>
      <c r="I668" s="25" t="str">
        <f t="shared" si="100"/>
        <v/>
      </c>
      <c r="J668" s="29"/>
      <c r="K668" s="25" t="str">
        <f t="shared" si="101"/>
        <v/>
      </c>
      <c r="L668" s="26" t="str">
        <f t="shared" si="102"/>
        <v/>
      </c>
      <c r="M668" s="29"/>
      <c r="N668" s="29"/>
      <c r="O668" s="29"/>
      <c r="P668" s="29"/>
      <c r="Q668" s="29"/>
      <c r="R668" s="29"/>
      <c r="S668" s="29"/>
      <c r="T668" s="29"/>
      <c r="U668" s="26" t="str">
        <f t="shared" si="103"/>
        <v/>
      </c>
      <c r="V668" s="26"/>
      <c r="W668" s="26" t="str">
        <f t="shared" si="104"/>
        <v/>
      </c>
      <c r="X668" s="26" t="str">
        <f t="shared" si="105"/>
        <v/>
      </c>
      <c r="Y668" s="26" t="str">
        <f t="shared" si="106"/>
        <v/>
      </c>
      <c r="Z668" s="26" t="str">
        <f t="shared" si="107"/>
        <v/>
      </c>
      <c r="AA668" s="26" t="str">
        <f t="shared" si="108"/>
        <v/>
      </c>
      <c r="AB668" s="5" t="str">
        <f t="shared" si="109"/>
        <v/>
      </c>
    </row>
    <row r="669" spans="1:28" ht="12" customHeight="1">
      <c r="A669" s="22">
        <v>677</v>
      </c>
      <c r="B669" s="30"/>
      <c r="C669" s="30"/>
      <c r="D669" s="29"/>
      <c r="E669" s="29"/>
      <c r="F669" s="29"/>
      <c r="G669" s="29"/>
      <c r="H669" s="29"/>
      <c r="I669" s="25" t="str">
        <f t="shared" si="100"/>
        <v/>
      </c>
      <c r="J669" s="29"/>
      <c r="K669" s="25" t="str">
        <f t="shared" si="101"/>
        <v/>
      </c>
      <c r="L669" s="26" t="str">
        <f t="shared" si="102"/>
        <v/>
      </c>
      <c r="M669" s="29"/>
      <c r="N669" s="29"/>
      <c r="O669" s="29"/>
      <c r="P669" s="29"/>
      <c r="Q669" s="29"/>
      <c r="R669" s="29"/>
      <c r="S669" s="29"/>
      <c r="T669" s="29"/>
      <c r="U669" s="26" t="str">
        <f t="shared" si="103"/>
        <v/>
      </c>
      <c r="V669" s="26"/>
      <c r="W669" s="26" t="str">
        <f t="shared" si="104"/>
        <v/>
      </c>
      <c r="X669" s="26" t="str">
        <f t="shared" si="105"/>
        <v/>
      </c>
      <c r="Y669" s="26" t="str">
        <f t="shared" si="106"/>
        <v/>
      </c>
      <c r="Z669" s="26" t="str">
        <f t="shared" si="107"/>
        <v/>
      </c>
      <c r="AA669" s="26" t="str">
        <f t="shared" si="108"/>
        <v/>
      </c>
      <c r="AB669" s="5" t="str">
        <f t="shared" si="109"/>
        <v/>
      </c>
    </row>
    <row r="670" spans="1:28" ht="12" customHeight="1">
      <c r="A670" s="22">
        <v>678</v>
      </c>
      <c r="B670" s="30"/>
      <c r="C670" s="30"/>
      <c r="D670" s="29"/>
      <c r="E670" s="29"/>
      <c r="F670" s="29"/>
      <c r="G670" s="29"/>
      <c r="H670" s="29"/>
      <c r="I670" s="25" t="str">
        <f t="shared" si="100"/>
        <v/>
      </c>
      <c r="J670" s="29"/>
      <c r="K670" s="25" t="str">
        <f t="shared" si="101"/>
        <v/>
      </c>
      <c r="L670" s="26" t="str">
        <f t="shared" si="102"/>
        <v/>
      </c>
      <c r="M670" s="29"/>
      <c r="N670" s="29"/>
      <c r="O670" s="29"/>
      <c r="P670" s="29"/>
      <c r="Q670" s="29"/>
      <c r="R670" s="29"/>
      <c r="S670" s="29"/>
      <c r="T670" s="29"/>
      <c r="U670" s="26" t="str">
        <f t="shared" si="103"/>
        <v/>
      </c>
      <c r="V670" s="26"/>
      <c r="W670" s="26" t="str">
        <f t="shared" si="104"/>
        <v/>
      </c>
      <c r="X670" s="26" t="str">
        <f t="shared" si="105"/>
        <v/>
      </c>
      <c r="Y670" s="26" t="str">
        <f t="shared" si="106"/>
        <v/>
      </c>
      <c r="Z670" s="26" t="str">
        <f t="shared" si="107"/>
        <v/>
      </c>
      <c r="AA670" s="26" t="str">
        <f t="shared" si="108"/>
        <v/>
      </c>
      <c r="AB670" s="5" t="str">
        <f t="shared" si="109"/>
        <v/>
      </c>
    </row>
    <row r="671" spans="1:28" ht="12" customHeight="1">
      <c r="A671" s="22">
        <v>679</v>
      </c>
      <c r="B671" s="30"/>
      <c r="C671" s="30"/>
      <c r="D671" s="29"/>
      <c r="E671" s="29"/>
      <c r="F671" s="29"/>
      <c r="G671" s="29"/>
      <c r="H671" s="29"/>
      <c r="I671" s="25" t="str">
        <f t="shared" si="100"/>
        <v/>
      </c>
      <c r="J671" s="29"/>
      <c r="K671" s="25" t="str">
        <f t="shared" si="101"/>
        <v/>
      </c>
      <c r="L671" s="26" t="str">
        <f t="shared" si="102"/>
        <v/>
      </c>
      <c r="M671" s="29"/>
      <c r="N671" s="29"/>
      <c r="O671" s="29"/>
      <c r="P671" s="29"/>
      <c r="Q671" s="29"/>
      <c r="R671" s="29"/>
      <c r="S671" s="29"/>
      <c r="T671" s="29"/>
      <c r="U671" s="26" t="str">
        <f t="shared" si="103"/>
        <v/>
      </c>
      <c r="V671" s="26"/>
      <c r="W671" s="26" t="str">
        <f t="shared" si="104"/>
        <v/>
      </c>
      <c r="X671" s="26" t="str">
        <f t="shared" si="105"/>
        <v/>
      </c>
      <c r="Y671" s="26" t="str">
        <f t="shared" si="106"/>
        <v/>
      </c>
      <c r="Z671" s="26" t="str">
        <f t="shared" si="107"/>
        <v/>
      </c>
      <c r="AA671" s="26" t="str">
        <f t="shared" si="108"/>
        <v/>
      </c>
      <c r="AB671" s="5" t="str">
        <f t="shared" si="109"/>
        <v/>
      </c>
    </row>
    <row r="672" spans="1:28" ht="12" customHeight="1">
      <c r="A672" s="22">
        <v>680</v>
      </c>
      <c r="B672" s="30"/>
      <c r="C672" s="30"/>
      <c r="D672" s="29"/>
      <c r="E672" s="29"/>
      <c r="F672" s="29"/>
      <c r="G672" s="29"/>
      <c r="H672" s="29"/>
      <c r="I672" s="25" t="str">
        <f t="shared" si="100"/>
        <v/>
      </c>
      <c r="J672" s="29"/>
      <c r="K672" s="25" t="str">
        <f t="shared" si="101"/>
        <v/>
      </c>
      <c r="L672" s="26" t="str">
        <f t="shared" si="102"/>
        <v/>
      </c>
      <c r="M672" s="29"/>
      <c r="N672" s="29"/>
      <c r="O672" s="29"/>
      <c r="P672" s="29"/>
      <c r="Q672" s="29"/>
      <c r="R672" s="29"/>
      <c r="S672" s="29"/>
      <c r="T672" s="29"/>
      <c r="U672" s="26" t="str">
        <f t="shared" si="103"/>
        <v/>
      </c>
      <c r="V672" s="26"/>
      <c r="W672" s="26" t="str">
        <f t="shared" si="104"/>
        <v/>
      </c>
      <c r="X672" s="26" t="str">
        <f t="shared" si="105"/>
        <v/>
      </c>
      <c r="Y672" s="26" t="str">
        <f t="shared" si="106"/>
        <v/>
      </c>
      <c r="Z672" s="26" t="str">
        <f t="shared" si="107"/>
        <v/>
      </c>
      <c r="AA672" s="26" t="str">
        <f t="shared" si="108"/>
        <v/>
      </c>
      <c r="AB672" s="5" t="str">
        <f t="shared" si="109"/>
        <v/>
      </c>
    </row>
    <row r="673" spans="1:28" ht="12" customHeight="1">
      <c r="A673" s="22">
        <v>681</v>
      </c>
      <c r="B673" s="30"/>
      <c r="C673" s="30"/>
      <c r="D673" s="29"/>
      <c r="E673" s="29"/>
      <c r="F673" s="29"/>
      <c r="G673" s="29"/>
      <c r="H673" s="29"/>
      <c r="I673" s="25" t="str">
        <f t="shared" si="100"/>
        <v/>
      </c>
      <c r="J673" s="29"/>
      <c r="K673" s="25" t="str">
        <f t="shared" si="101"/>
        <v/>
      </c>
      <c r="L673" s="26" t="str">
        <f t="shared" si="102"/>
        <v/>
      </c>
      <c r="M673" s="29"/>
      <c r="N673" s="29"/>
      <c r="O673" s="29"/>
      <c r="P673" s="29"/>
      <c r="Q673" s="29"/>
      <c r="R673" s="29"/>
      <c r="S673" s="29"/>
      <c r="T673" s="29"/>
      <c r="U673" s="26" t="str">
        <f t="shared" si="103"/>
        <v/>
      </c>
      <c r="V673" s="26"/>
      <c r="W673" s="26" t="str">
        <f t="shared" si="104"/>
        <v/>
      </c>
      <c r="X673" s="26" t="str">
        <f t="shared" si="105"/>
        <v/>
      </c>
      <c r="Y673" s="26" t="str">
        <f t="shared" si="106"/>
        <v/>
      </c>
      <c r="Z673" s="26" t="str">
        <f t="shared" si="107"/>
        <v/>
      </c>
      <c r="AA673" s="26" t="str">
        <f t="shared" si="108"/>
        <v/>
      </c>
      <c r="AB673" s="5" t="str">
        <f t="shared" si="109"/>
        <v/>
      </c>
    </row>
    <row r="674" spans="1:28" ht="12" customHeight="1">
      <c r="A674" s="22">
        <v>682</v>
      </c>
      <c r="B674" s="30"/>
      <c r="C674" s="30"/>
      <c r="D674" s="29"/>
      <c r="E674" s="29"/>
      <c r="F674" s="29"/>
      <c r="G674" s="29"/>
      <c r="H674" s="29"/>
      <c r="I674" s="25" t="str">
        <f t="shared" si="100"/>
        <v/>
      </c>
      <c r="J674" s="29"/>
      <c r="K674" s="25" t="str">
        <f t="shared" si="101"/>
        <v/>
      </c>
      <c r="L674" s="26" t="str">
        <f t="shared" si="102"/>
        <v/>
      </c>
      <c r="M674" s="29"/>
      <c r="N674" s="29"/>
      <c r="O674" s="29"/>
      <c r="P674" s="29"/>
      <c r="Q674" s="29"/>
      <c r="R674" s="29"/>
      <c r="S674" s="29"/>
      <c r="T674" s="29"/>
      <c r="U674" s="26" t="str">
        <f t="shared" si="103"/>
        <v/>
      </c>
      <c r="V674" s="26"/>
      <c r="W674" s="26" t="str">
        <f t="shared" si="104"/>
        <v/>
      </c>
      <c r="X674" s="26" t="str">
        <f t="shared" si="105"/>
        <v/>
      </c>
      <c r="Y674" s="26" t="str">
        <f t="shared" si="106"/>
        <v/>
      </c>
      <c r="Z674" s="26" t="str">
        <f t="shared" si="107"/>
        <v/>
      </c>
      <c r="AA674" s="26" t="str">
        <f t="shared" si="108"/>
        <v/>
      </c>
      <c r="AB674" s="5" t="str">
        <f t="shared" si="109"/>
        <v/>
      </c>
    </row>
    <row r="675" spans="1:28" ht="12" customHeight="1">
      <c r="A675" s="22">
        <v>683</v>
      </c>
      <c r="B675" s="30"/>
      <c r="C675" s="30"/>
      <c r="D675" s="29"/>
      <c r="E675" s="29"/>
      <c r="F675" s="29"/>
      <c r="G675" s="29"/>
      <c r="H675" s="29"/>
      <c r="I675" s="25" t="str">
        <f t="shared" si="100"/>
        <v/>
      </c>
      <c r="J675" s="29"/>
      <c r="K675" s="25" t="str">
        <f t="shared" si="101"/>
        <v/>
      </c>
      <c r="L675" s="26" t="str">
        <f t="shared" si="102"/>
        <v/>
      </c>
      <c r="M675" s="29"/>
      <c r="N675" s="29"/>
      <c r="O675" s="29"/>
      <c r="P675" s="29"/>
      <c r="Q675" s="29"/>
      <c r="R675" s="29"/>
      <c r="S675" s="29"/>
      <c r="T675" s="29"/>
      <c r="U675" s="26" t="str">
        <f t="shared" si="103"/>
        <v/>
      </c>
      <c r="V675" s="26"/>
      <c r="W675" s="26" t="str">
        <f t="shared" si="104"/>
        <v/>
      </c>
      <c r="X675" s="26" t="str">
        <f t="shared" si="105"/>
        <v/>
      </c>
      <c r="Y675" s="26" t="str">
        <f t="shared" si="106"/>
        <v/>
      </c>
      <c r="Z675" s="26" t="str">
        <f t="shared" si="107"/>
        <v/>
      </c>
      <c r="AA675" s="26" t="str">
        <f t="shared" si="108"/>
        <v/>
      </c>
      <c r="AB675" s="5" t="str">
        <f t="shared" si="109"/>
        <v/>
      </c>
    </row>
    <row r="676" spans="1:28" ht="12" customHeight="1">
      <c r="A676" s="22">
        <v>684</v>
      </c>
      <c r="B676" s="30"/>
      <c r="C676" s="30"/>
      <c r="D676" s="29"/>
      <c r="E676" s="29"/>
      <c r="F676" s="29"/>
      <c r="G676" s="29"/>
      <c r="H676" s="29"/>
      <c r="I676" s="25" t="str">
        <f t="shared" si="100"/>
        <v/>
      </c>
      <c r="J676" s="29"/>
      <c r="K676" s="25" t="str">
        <f t="shared" si="101"/>
        <v/>
      </c>
      <c r="L676" s="26" t="str">
        <f t="shared" si="102"/>
        <v/>
      </c>
      <c r="M676" s="29"/>
      <c r="N676" s="29"/>
      <c r="O676" s="29"/>
      <c r="P676" s="29"/>
      <c r="Q676" s="29"/>
      <c r="R676" s="29"/>
      <c r="S676" s="29"/>
      <c r="T676" s="29"/>
      <c r="U676" s="26" t="str">
        <f t="shared" si="103"/>
        <v/>
      </c>
      <c r="V676" s="26"/>
      <c r="W676" s="26" t="str">
        <f t="shared" si="104"/>
        <v/>
      </c>
      <c r="X676" s="26" t="str">
        <f t="shared" si="105"/>
        <v/>
      </c>
      <c r="Y676" s="26" t="str">
        <f t="shared" si="106"/>
        <v/>
      </c>
      <c r="Z676" s="26" t="str">
        <f t="shared" si="107"/>
        <v/>
      </c>
      <c r="AA676" s="26" t="str">
        <f t="shared" si="108"/>
        <v/>
      </c>
      <c r="AB676" s="5" t="str">
        <f t="shared" si="109"/>
        <v/>
      </c>
    </row>
    <row r="677" spans="1:28" ht="12" customHeight="1">
      <c r="A677" s="22">
        <v>685</v>
      </c>
      <c r="B677" s="30"/>
      <c r="C677" s="30"/>
      <c r="D677" s="29"/>
      <c r="E677" s="29"/>
      <c r="F677" s="29"/>
      <c r="G677" s="29"/>
      <c r="H677" s="29"/>
      <c r="I677" s="25" t="str">
        <f t="shared" si="100"/>
        <v/>
      </c>
      <c r="J677" s="29"/>
      <c r="K677" s="25" t="str">
        <f t="shared" si="101"/>
        <v/>
      </c>
      <c r="L677" s="26" t="str">
        <f t="shared" si="102"/>
        <v/>
      </c>
      <c r="M677" s="29"/>
      <c r="N677" s="29"/>
      <c r="O677" s="29"/>
      <c r="P677" s="29"/>
      <c r="Q677" s="29"/>
      <c r="R677" s="29"/>
      <c r="S677" s="29"/>
      <c r="T677" s="29"/>
      <c r="U677" s="26" t="str">
        <f t="shared" si="103"/>
        <v/>
      </c>
      <c r="V677" s="26"/>
      <c r="W677" s="26" t="str">
        <f t="shared" si="104"/>
        <v/>
      </c>
      <c r="X677" s="26" t="str">
        <f t="shared" si="105"/>
        <v/>
      </c>
      <c r="Y677" s="26" t="str">
        <f t="shared" si="106"/>
        <v/>
      </c>
      <c r="Z677" s="26" t="str">
        <f t="shared" si="107"/>
        <v/>
      </c>
      <c r="AA677" s="26" t="str">
        <f t="shared" si="108"/>
        <v/>
      </c>
      <c r="AB677" s="5" t="str">
        <f t="shared" si="109"/>
        <v/>
      </c>
    </row>
    <row r="678" spans="1:28" ht="12" customHeight="1">
      <c r="A678" s="22">
        <v>686</v>
      </c>
      <c r="B678" s="30"/>
      <c r="C678" s="30"/>
      <c r="D678" s="29"/>
      <c r="E678" s="29"/>
      <c r="F678" s="29"/>
      <c r="G678" s="29"/>
      <c r="H678" s="29"/>
      <c r="I678" s="25" t="str">
        <f t="shared" si="100"/>
        <v/>
      </c>
      <c r="J678" s="29"/>
      <c r="K678" s="25" t="str">
        <f t="shared" si="101"/>
        <v/>
      </c>
      <c r="L678" s="26" t="str">
        <f t="shared" si="102"/>
        <v/>
      </c>
      <c r="M678" s="29"/>
      <c r="N678" s="29"/>
      <c r="O678" s="29"/>
      <c r="P678" s="29"/>
      <c r="Q678" s="29"/>
      <c r="R678" s="29"/>
      <c r="S678" s="29"/>
      <c r="T678" s="29"/>
      <c r="U678" s="26" t="str">
        <f t="shared" si="103"/>
        <v/>
      </c>
      <c r="V678" s="26"/>
      <c r="W678" s="26" t="str">
        <f t="shared" si="104"/>
        <v/>
      </c>
      <c r="X678" s="26" t="str">
        <f t="shared" si="105"/>
        <v/>
      </c>
      <c r="Y678" s="26" t="str">
        <f t="shared" si="106"/>
        <v/>
      </c>
      <c r="Z678" s="26" t="str">
        <f t="shared" si="107"/>
        <v/>
      </c>
      <c r="AA678" s="26" t="str">
        <f t="shared" si="108"/>
        <v/>
      </c>
      <c r="AB678" s="5" t="str">
        <f t="shared" si="109"/>
        <v/>
      </c>
    </row>
    <row r="679" spans="1:28" ht="12" customHeight="1">
      <c r="A679" s="22">
        <v>687</v>
      </c>
      <c r="B679" s="30"/>
      <c r="C679" s="30"/>
      <c r="D679" s="29"/>
      <c r="E679" s="29"/>
      <c r="F679" s="29"/>
      <c r="G679" s="29"/>
      <c r="H679" s="29"/>
      <c r="I679" s="25" t="str">
        <f t="shared" si="100"/>
        <v/>
      </c>
      <c r="J679" s="29"/>
      <c r="K679" s="25" t="str">
        <f t="shared" si="101"/>
        <v/>
      </c>
      <c r="L679" s="26" t="str">
        <f t="shared" si="102"/>
        <v/>
      </c>
      <c r="M679" s="29"/>
      <c r="N679" s="29"/>
      <c r="O679" s="29"/>
      <c r="P679" s="29"/>
      <c r="Q679" s="29"/>
      <c r="R679" s="29"/>
      <c r="S679" s="29"/>
      <c r="T679" s="29"/>
      <c r="U679" s="26" t="str">
        <f t="shared" si="103"/>
        <v/>
      </c>
      <c r="V679" s="26"/>
      <c r="W679" s="26" t="str">
        <f t="shared" si="104"/>
        <v/>
      </c>
      <c r="X679" s="26" t="str">
        <f t="shared" si="105"/>
        <v/>
      </c>
      <c r="Y679" s="26" t="str">
        <f t="shared" si="106"/>
        <v/>
      </c>
      <c r="Z679" s="26" t="str">
        <f t="shared" si="107"/>
        <v/>
      </c>
      <c r="AA679" s="26" t="str">
        <f t="shared" si="108"/>
        <v/>
      </c>
      <c r="AB679" s="5" t="str">
        <f t="shared" si="109"/>
        <v/>
      </c>
    </row>
    <row r="680" spans="1:28" ht="12" customHeight="1">
      <c r="A680" s="22">
        <v>688</v>
      </c>
      <c r="B680" s="30"/>
      <c r="C680" s="30"/>
      <c r="D680" s="29"/>
      <c r="E680" s="29"/>
      <c r="F680" s="29"/>
      <c r="G680" s="29"/>
      <c r="H680" s="29"/>
      <c r="I680" s="25" t="str">
        <f t="shared" si="100"/>
        <v/>
      </c>
      <c r="J680" s="29"/>
      <c r="K680" s="25" t="str">
        <f t="shared" si="101"/>
        <v/>
      </c>
      <c r="L680" s="26" t="str">
        <f t="shared" si="102"/>
        <v/>
      </c>
      <c r="M680" s="29"/>
      <c r="N680" s="29"/>
      <c r="O680" s="29"/>
      <c r="P680" s="29"/>
      <c r="Q680" s="29"/>
      <c r="R680" s="29"/>
      <c r="S680" s="29"/>
      <c r="T680" s="29"/>
      <c r="U680" s="26" t="str">
        <f t="shared" si="103"/>
        <v/>
      </c>
      <c r="V680" s="26"/>
      <c r="W680" s="26" t="str">
        <f t="shared" si="104"/>
        <v/>
      </c>
      <c r="X680" s="26" t="str">
        <f t="shared" si="105"/>
        <v/>
      </c>
      <c r="Y680" s="26" t="str">
        <f t="shared" si="106"/>
        <v/>
      </c>
      <c r="Z680" s="26" t="str">
        <f t="shared" si="107"/>
        <v/>
      </c>
      <c r="AA680" s="26" t="str">
        <f t="shared" si="108"/>
        <v/>
      </c>
      <c r="AB680" s="5" t="str">
        <f t="shared" si="109"/>
        <v/>
      </c>
    </row>
    <row r="681" spans="1:28" ht="12" customHeight="1">
      <c r="A681" s="22">
        <v>689</v>
      </c>
      <c r="B681" s="30"/>
      <c r="C681" s="30"/>
      <c r="D681" s="29"/>
      <c r="E681" s="29"/>
      <c r="F681" s="29"/>
      <c r="G681" s="29"/>
      <c r="H681" s="29"/>
      <c r="I681" s="25" t="str">
        <f t="shared" si="100"/>
        <v/>
      </c>
      <c r="J681" s="29"/>
      <c r="K681" s="25" t="str">
        <f t="shared" si="101"/>
        <v/>
      </c>
      <c r="L681" s="26" t="str">
        <f t="shared" si="102"/>
        <v/>
      </c>
      <c r="M681" s="29"/>
      <c r="N681" s="29"/>
      <c r="O681" s="29"/>
      <c r="P681" s="29"/>
      <c r="Q681" s="29"/>
      <c r="R681" s="29"/>
      <c r="S681" s="29"/>
      <c r="T681" s="29"/>
      <c r="U681" s="26" t="str">
        <f t="shared" si="103"/>
        <v/>
      </c>
      <c r="V681" s="26"/>
      <c r="W681" s="26" t="str">
        <f t="shared" si="104"/>
        <v/>
      </c>
      <c r="X681" s="26" t="str">
        <f t="shared" si="105"/>
        <v/>
      </c>
      <c r="Y681" s="26" t="str">
        <f t="shared" si="106"/>
        <v/>
      </c>
      <c r="Z681" s="26" t="str">
        <f t="shared" si="107"/>
        <v/>
      </c>
      <c r="AA681" s="26" t="str">
        <f t="shared" si="108"/>
        <v/>
      </c>
      <c r="AB681" s="5" t="str">
        <f t="shared" si="109"/>
        <v/>
      </c>
    </row>
    <row r="682" spans="1:28" ht="12" customHeight="1">
      <c r="A682" s="22">
        <v>690</v>
      </c>
      <c r="B682" s="30"/>
      <c r="C682" s="30"/>
      <c r="D682" s="29"/>
      <c r="E682" s="29"/>
      <c r="F682" s="29"/>
      <c r="G682" s="29"/>
      <c r="H682" s="29"/>
      <c r="I682" s="25" t="str">
        <f t="shared" si="100"/>
        <v/>
      </c>
      <c r="J682" s="29"/>
      <c r="K682" s="25" t="str">
        <f t="shared" si="101"/>
        <v/>
      </c>
      <c r="L682" s="26" t="str">
        <f t="shared" si="102"/>
        <v/>
      </c>
      <c r="M682" s="29"/>
      <c r="N682" s="29"/>
      <c r="O682" s="29"/>
      <c r="P682" s="29"/>
      <c r="Q682" s="29"/>
      <c r="R682" s="29"/>
      <c r="S682" s="29"/>
      <c r="T682" s="29"/>
      <c r="U682" s="26" t="str">
        <f t="shared" si="103"/>
        <v/>
      </c>
      <c r="V682" s="26"/>
      <c r="W682" s="26" t="str">
        <f t="shared" si="104"/>
        <v/>
      </c>
      <c r="X682" s="26" t="str">
        <f t="shared" si="105"/>
        <v/>
      </c>
      <c r="Y682" s="26" t="str">
        <f t="shared" si="106"/>
        <v/>
      </c>
      <c r="Z682" s="26" t="str">
        <f t="shared" si="107"/>
        <v/>
      </c>
      <c r="AA682" s="26" t="str">
        <f t="shared" si="108"/>
        <v/>
      </c>
      <c r="AB682" s="5" t="str">
        <f t="shared" si="109"/>
        <v/>
      </c>
    </row>
    <row r="683" spans="1:28" ht="12" customHeight="1">
      <c r="A683" s="22">
        <v>691</v>
      </c>
      <c r="B683" s="30"/>
      <c r="C683" s="30"/>
      <c r="D683" s="29"/>
      <c r="E683" s="29"/>
      <c r="F683" s="29"/>
      <c r="G683" s="29"/>
      <c r="H683" s="29"/>
      <c r="I683" s="25" t="str">
        <f t="shared" si="100"/>
        <v/>
      </c>
      <c r="J683" s="29"/>
      <c r="K683" s="25" t="str">
        <f t="shared" si="101"/>
        <v/>
      </c>
      <c r="L683" s="26" t="str">
        <f t="shared" si="102"/>
        <v/>
      </c>
      <c r="M683" s="29"/>
      <c r="N683" s="29"/>
      <c r="O683" s="29"/>
      <c r="P683" s="29"/>
      <c r="Q683" s="29"/>
      <c r="R683" s="29"/>
      <c r="S683" s="29"/>
      <c r="T683" s="29"/>
      <c r="U683" s="26" t="str">
        <f t="shared" si="103"/>
        <v/>
      </c>
      <c r="V683" s="26"/>
      <c r="W683" s="26" t="str">
        <f t="shared" si="104"/>
        <v/>
      </c>
      <c r="X683" s="26" t="str">
        <f t="shared" si="105"/>
        <v/>
      </c>
      <c r="Y683" s="26" t="str">
        <f t="shared" si="106"/>
        <v/>
      </c>
      <c r="Z683" s="26" t="str">
        <f t="shared" si="107"/>
        <v/>
      </c>
      <c r="AA683" s="26" t="str">
        <f t="shared" si="108"/>
        <v/>
      </c>
      <c r="AB683" s="5" t="str">
        <f t="shared" si="109"/>
        <v/>
      </c>
    </row>
    <row r="684" spans="1:28" ht="12" customHeight="1">
      <c r="A684" s="22">
        <v>692</v>
      </c>
      <c r="B684" s="30"/>
      <c r="C684" s="30"/>
      <c r="D684" s="29"/>
      <c r="E684" s="29"/>
      <c r="F684" s="29"/>
      <c r="G684" s="29"/>
      <c r="H684" s="29"/>
      <c r="I684" s="25" t="str">
        <f t="shared" si="100"/>
        <v/>
      </c>
      <c r="J684" s="29"/>
      <c r="K684" s="25" t="str">
        <f t="shared" si="101"/>
        <v/>
      </c>
      <c r="L684" s="26" t="str">
        <f t="shared" si="102"/>
        <v/>
      </c>
      <c r="M684" s="29"/>
      <c r="N684" s="29"/>
      <c r="O684" s="29"/>
      <c r="P684" s="29"/>
      <c r="Q684" s="29"/>
      <c r="R684" s="29"/>
      <c r="S684" s="29"/>
      <c r="T684" s="29"/>
      <c r="U684" s="26" t="str">
        <f t="shared" si="103"/>
        <v/>
      </c>
      <c r="V684" s="26"/>
      <c r="W684" s="26" t="str">
        <f t="shared" si="104"/>
        <v/>
      </c>
      <c r="X684" s="26" t="str">
        <f t="shared" si="105"/>
        <v/>
      </c>
      <c r="Y684" s="26" t="str">
        <f t="shared" si="106"/>
        <v/>
      </c>
      <c r="Z684" s="26" t="str">
        <f t="shared" si="107"/>
        <v/>
      </c>
      <c r="AA684" s="26" t="str">
        <f t="shared" si="108"/>
        <v/>
      </c>
      <c r="AB684" s="5" t="str">
        <f t="shared" si="109"/>
        <v/>
      </c>
    </row>
    <row r="685" spans="1:28" ht="12" customHeight="1">
      <c r="A685" s="22">
        <v>693</v>
      </c>
      <c r="B685" s="30"/>
      <c r="C685" s="30"/>
      <c r="D685" s="29"/>
      <c r="E685" s="29"/>
      <c r="F685" s="29"/>
      <c r="G685" s="29"/>
      <c r="H685" s="29"/>
      <c r="I685" s="25" t="str">
        <f t="shared" si="100"/>
        <v/>
      </c>
      <c r="J685" s="29"/>
      <c r="K685" s="25" t="str">
        <f t="shared" si="101"/>
        <v/>
      </c>
      <c r="L685" s="26" t="str">
        <f t="shared" si="102"/>
        <v/>
      </c>
      <c r="M685" s="29"/>
      <c r="N685" s="29"/>
      <c r="O685" s="29"/>
      <c r="P685" s="29"/>
      <c r="Q685" s="29"/>
      <c r="R685" s="29"/>
      <c r="S685" s="29"/>
      <c r="T685" s="29"/>
      <c r="U685" s="26" t="str">
        <f t="shared" si="103"/>
        <v/>
      </c>
      <c r="V685" s="26"/>
      <c r="W685" s="26" t="str">
        <f t="shared" si="104"/>
        <v/>
      </c>
      <c r="X685" s="26" t="str">
        <f t="shared" si="105"/>
        <v/>
      </c>
      <c r="Y685" s="26" t="str">
        <f t="shared" si="106"/>
        <v/>
      </c>
      <c r="Z685" s="26" t="str">
        <f t="shared" si="107"/>
        <v/>
      </c>
      <c r="AA685" s="26" t="str">
        <f t="shared" si="108"/>
        <v/>
      </c>
      <c r="AB685" s="5" t="str">
        <f t="shared" si="109"/>
        <v/>
      </c>
    </row>
    <row r="686" spans="1:28" ht="12" customHeight="1">
      <c r="A686" s="22">
        <v>694</v>
      </c>
      <c r="B686" s="30"/>
      <c r="C686" s="30"/>
      <c r="D686" s="29"/>
      <c r="E686" s="29"/>
      <c r="F686" s="29"/>
      <c r="G686" s="29"/>
      <c r="H686" s="29"/>
      <c r="I686" s="25" t="str">
        <f t="shared" si="100"/>
        <v/>
      </c>
      <c r="J686" s="29"/>
      <c r="K686" s="25" t="str">
        <f t="shared" si="101"/>
        <v/>
      </c>
      <c r="L686" s="26" t="str">
        <f t="shared" si="102"/>
        <v/>
      </c>
      <c r="M686" s="29"/>
      <c r="N686" s="29"/>
      <c r="O686" s="29"/>
      <c r="P686" s="29"/>
      <c r="Q686" s="29"/>
      <c r="R686" s="29"/>
      <c r="S686" s="29"/>
      <c r="T686" s="29"/>
      <c r="U686" s="26" t="str">
        <f t="shared" si="103"/>
        <v/>
      </c>
      <c r="V686" s="26"/>
      <c r="W686" s="26" t="str">
        <f t="shared" si="104"/>
        <v/>
      </c>
      <c r="X686" s="26" t="str">
        <f t="shared" si="105"/>
        <v/>
      </c>
      <c r="Y686" s="26" t="str">
        <f t="shared" si="106"/>
        <v/>
      </c>
      <c r="Z686" s="26" t="str">
        <f t="shared" si="107"/>
        <v/>
      </c>
      <c r="AA686" s="26" t="str">
        <f t="shared" si="108"/>
        <v/>
      </c>
      <c r="AB686" s="5" t="str">
        <f t="shared" si="109"/>
        <v/>
      </c>
    </row>
    <row r="687" spans="1:28" ht="12" customHeight="1">
      <c r="A687" s="22">
        <v>695</v>
      </c>
      <c r="B687" s="30"/>
      <c r="C687" s="30"/>
      <c r="D687" s="29"/>
      <c r="E687" s="29"/>
      <c r="F687" s="29"/>
      <c r="G687" s="29"/>
      <c r="H687" s="29"/>
      <c r="I687" s="25" t="str">
        <f t="shared" si="100"/>
        <v/>
      </c>
      <c r="J687" s="29"/>
      <c r="K687" s="25" t="str">
        <f t="shared" si="101"/>
        <v/>
      </c>
      <c r="L687" s="26" t="str">
        <f t="shared" si="102"/>
        <v/>
      </c>
      <c r="M687" s="29"/>
      <c r="N687" s="29"/>
      <c r="O687" s="29"/>
      <c r="P687" s="29"/>
      <c r="Q687" s="29"/>
      <c r="R687" s="29"/>
      <c r="S687" s="29"/>
      <c r="T687" s="29"/>
      <c r="U687" s="26" t="str">
        <f t="shared" si="103"/>
        <v/>
      </c>
      <c r="V687" s="26"/>
      <c r="W687" s="26" t="str">
        <f t="shared" si="104"/>
        <v/>
      </c>
      <c r="X687" s="26" t="str">
        <f t="shared" si="105"/>
        <v/>
      </c>
      <c r="Y687" s="26" t="str">
        <f t="shared" si="106"/>
        <v/>
      </c>
      <c r="Z687" s="26" t="str">
        <f t="shared" si="107"/>
        <v/>
      </c>
      <c r="AA687" s="26" t="str">
        <f t="shared" si="108"/>
        <v/>
      </c>
      <c r="AB687" s="5" t="str">
        <f t="shared" si="109"/>
        <v/>
      </c>
    </row>
    <row r="688" spans="1:28" ht="12" customHeight="1">
      <c r="A688" s="22">
        <v>696</v>
      </c>
      <c r="B688" s="30"/>
      <c r="C688" s="30"/>
      <c r="D688" s="29"/>
      <c r="E688" s="29"/>
      <c r="F688" s="29"/>
      <c r="G688" s="29"/>
      <c r="H688" s="29"/>
      <c r="I688" s="25" t="str">
        <f t="shared" si="100"/>
        <v/>
      </c>
      <c r="J688" s="29"/>
      <c r="K688" s="25" t="str">
        <f t="shared" si="101"/>
        <v/>
      </c>
      <c r="L688" s="26" t="str">
        <f t="shared" si="102"/>
        <v/>
      </c>
      <c r="M688" s="29"/>
      <c r="N688" s="29"/>
      <c r="O688" s="29"/>
      <c r="P688" s="29"/>
      <c r="Q688" s="29"/>
      <c r="R688" s="29"/>
      <c r="S688" s="29"/>
      <c r="T688" s="29"/>
      <c r="U688" s="26" t="str">
        <f t="shared" si="103"/>
        <v/>
      </c>
      <c r="V688" s="26"/>
      <c r="W688" s="26" t="str">
        <f t="shared" si="104"/>
        <v/>
      </c>
      <c r="X688" s="26" t="str">
        <f t="shared" si="105"/>
        <v/>
      </c>
      <c r="Y688" s="26" t="str">
        <f t="shared" si="106"/>
        <v/>
      </c>
      <c r="Z688" s="26" t="str">
        <f t="shared" si="107"/>
        <v/>
      </c>
      <c r="AA688" s="26" t="str">
        <f t="shared" si="108"/>
        <v/>
      </c>
      <c r="AB688" s="5" t="str">
        <f t="shared" si="109"/>
        <v/>
      </c>
    </row>
    <row r="689" spans="1:28" ht="12" customHeight="1">
      <c r="A689" s="22">
        <v>697</v>
      </c>
      <c r="B689" s="30"/>
      <c r="C689" s="30"/>
      <c r="D689" s="29"/>
      <c r="E689" s="29"/>
      <c r="F689" s="29"/>
      <c r="G689" s="29"/>
      <c r="H689" s="29"/>
      <c r="I689" s="25" t="str">
        <f t="shared" si="100"/>
        <v/>
      </c>
      <c r="J689" s="29"/>
      <c r="K689" s="25" t="str">
        <f t="shared" si="101"/>
        <v/>
      </c>
      <c r="L689" s="26" t="str">
        <f t="shared" si="102"/>
        <v/>
      </c>
      <c r="M689" s="29"/>
      <c r="N689" s="29"/>
      <c r="O689" s="29"/>
      <c r="P689" s="29"/>
      <c r="Q689" s="29"/>
      <c r="R689" s="29"/>
      <c r="S689" s="29"/>
      <c r="T689" s="29"/>
      <c r="U689" s="26" t="str">
        <f t="shared" si="103"/>
        <v/>
      </c>
      <c r="V689" s="26"/>
      <c r="W689" s="26" t="str">
        <f t="shared" si="104"/>
        <v/>
      </c>
      <c r="X689" s="26" t="str">
        <f t="shared" si="105"/>
        <v/>
      </c>
      <c r="Y689" s="26" t="str">
        <f t="shared" si="106"/>
        <v/>
      </c>
      <c r="Z689" s="26" t="str">
        <f t="shared" si="107"/>
        <v/>
      </c>
      <c r="AA689" s="26" t="str">
        <f t="shared" si="108"/>
        <v/>
      </c>
      <c r="AB689" s="5" t="str">
        <f t="shared" si="109"/>
        <v/>
      </c>
    </row>
    <row r="690" spans="1:28" ht="12" customHeight="1">
      <c r="A690" s="22">
        <v>698</v>
      </c>
      <c r="B690" s="30"/>
      <c r="C690" s="30"/>
      <c r="D690" s="29"/>
      <c r="E690" s="29"/>
      <c r="F690" s="29"/>
      <c r="G690" s="29"/>
      <c r="H690" s="29"/>
      <c r="I690" s="25" t="str">
        <f t="shared" si="100"/>
        <v/>
      </c>
      <c r="J690" s="29"/>
      <c r="K690" s="25" t="str">
        <f t="shared" si="101"/>
        <v/>
      </c>
      <c r="L690" s="26" t="str">
        <f t="shared" si="102"/>
        <v/>
      </c>
      <c r="M690" s="29"/>
      <c r="N690" s="29"/>
      <c r="O690" s="29"/>
      <c r="P690" s="29"/>
      <c r="Q690" s="29"/>
      <c r="R690" s="29"/>
      <c r="S690" s="29"/>
      <c r="T690" s="29"/>
      <c r="U690" s="26" t="str">
        <f t="shared" si="103"/>
        <v/>
      </c>
      <c r="V690" s="26"/>
      <c r="W690" s="26" t="str">
        <f t="shared" si="104"/>
        <v/>
      </c>
      <c r="X690" s="26" t="str">
        <f t="shared" si="105"/>
        <v/>
      </c>
      <c r="Y690" s="26" t="str">
        <f t="shared" si="106"/>
        <v/>
      </c>
      <c r="Z690" s="26" t="str">
        <f t="shared" si="107"/>
        <v/>
      </c>
      <c r="AA690" s="26" t="str">
        <f t="shared" si="108"/>
        <v/>
      </c>
      <c r="AB690" s="5" t="str">
        <f t="shared" si="109"/>
        <v/>
      </c>
    </row>
    <row r="691" spans="1:28" ht="12" customHeight="1">
      <c r="A691" s="22">
        <v>699</v>
      </c>
      <c r="B691" s="30"/>
      <c r="C691" s="30"/>
      <c r="D691" s="29"/>
      <c r="E691" s="29"/>
      <c r="F691" s="29"/>
      <c r="G691" s="29"/>
      <c r="H691" s="29"/>
      <c r="I691" s="25" t="str">
        <f t="shared" si="100"/>
        <v/>
      </c>
      <c r="J691" s="29"/>
      <c r="K691" s="25" t="str">
        <f t="shared" si="101"/>
        <v/>
      </c>
      <c r="L691" s="26" t="str">
        <f t="shared" si="102"/>
        <v/>
      </c>
      <c r="M691" s="29"/>
      <c r="N691" s="29"/>
      <c r="O691" s="29"/>
      <c r="P691" s="29"/>
      <c r="Q691" s="29"/>
      <c r="R691" s="29"/>
      <c r="S691" s="29"/>
      <c r="T691" s="29"/>
      <c r="U691" s="26" t="str">
        <f t="shared" si="103"/>
        <v/>
      </c>
      <c r="V691" s="26"/>
      <c r="W691" s="26" t="str">
        <f t="shared" si="104"/>
        <v/>
      </c>
      <c r="X691" s="26" t="str">
        <f t="shared" si="105"/>
        <v/>
      </c>
      <c r="Y691" s="26" t="str">
        <f t="shared" si="106"/>
        <v/>
      </c>
      <c r="Z691" s="26" t="str">
        <f t="shared" si="107"/>
        <v/>
      </c>
      <c r="AA691" s="26" t="str">
        <f t="shared" si="108"/>
        <v/>
      </c>
      <c r="AB691" s="5" t="str">
        <f t="shared" si="109"/>
        <v/>
      </c>
    </row>
    <row r="692" spans="1:28" ht="12" customHeight="1">
      <c r="A692" s="22">
        <v>700</v>
      </c>
      <c r="B692" s="30"/>
      <c r="C692" s="30"/>
      <c r="D692" s="29"/>
      <c r="E692" s="29"/>
      <c r="F692" s="29"/>
      <c r="G692" s="29"/>
      <c r="H692" s="29"/>
      <c r="I692" s="25" t="str">
        <f t="shared" si="100"/>
        <v/>
      </c>
      <c r="J692" s="29"/>
      <c r="K692" s="25" t="str">
        <f t="shared" si="101"/>
        <v/>
      </c>
      <c r="L692" s="26" t="str">
        <f t="shared" si="102"/>
        <v/>
      </c>
      <c r="M692" s="29"/>
      <c r="N692" s="29"/>
      <c r="O692" s="29"/>
      <c r="P692" s="29"/>
      <c r="Q692" s="29"/>
      <c r="R692" s="29"/>
      <c r="S692" s="29"/>
      <c r="T692" s="29"/>
      <c r="U692" s="26" t="str">
        <f t="shared" si="103"/>
        <v/>
      </c>
      <c r="V692" s="26"/>
      <c r="W692" s="26" t="str">
        <f t="shared" si="104"/>
        <v/>
      </c>
      <c r="X692" s="26" t="str">
        <f t="shared" si="105"/>
        <v/>
      </c>
      <c r="Y692" s="26" t="str">
        <f t="shared" si="106"/>
        <v/>
      </c>
      <c r="Z692" s="26" t="str">
        <f t="shared" si="107"/>
        <v/>
      </c>
      <c r="AA692" s="26" t="str">
        <f t="shared" si="108"/>
        <v/>
      </c>
      <c r="AB692" s="5" t="str">
        <f t="shared" si="109"/>
        <v/>
      </c>
    </row>
    <row r="693" spans="1:28" ht="12" customHeight="1">
      <c r="A693" s="22">
        <v>701</v>
      </c>
      <c r="B693" s="30"/>
      <c r="C693" s="30"/>
      <c r="D693" s="29"/>
      <c r="E693" s="29"/>
      <c r="F693" s="29"/>
      <c r="G693" s="29"/>
      <c r="H693" s="29"/>
      <c r="I693" s="25" t="str">
        <f t="shared" si="100"/>
        <v/>
      </c>
      <c r="J693" s="29"/>
      <c r="K693" s="25" t="str">
        <f t="shared" si="101"/>
        <v/>
      </c>
      <c r="L693" s="26" t="str">
        <f t="shared" si="102"/>
        <v/>
      </c>
      <c r="M693" s="29"/>
      <c r="N693" s="29"/>
      <c r="O693" s="29"/>
      <c r="P693" s="29"/>
      <c r="Q693" s="29"/>
      <c r="R693" s="29"/>
      <c r="S693" s="29"/>
      <c r="T693" s="29"/>
      <c r="U693" s="26" t="str">
        <f t="shared" si="103"/>
        <v/>
      </c>
      <c r="V693" s="26"/>
      <c r="W693" s="26" t="str">
        <f t="shared" si="104"/>
        <v/>
      </c>
      <c r="X693" s="26" t="str">
        <f t="shared" si="105"/>
        <v/>
      </c>
      <c r="Y693" s="26" t="str">
        <f t="shared" si="106"/>
        <v/>
      </c>
      <c r="Z693" s="26" t="str">
        <f t="shared" si="107"/>
        <v/>
      </c>
      <c r="AA693" s="26" t="str">
        <f t="shared" si="108"/>
        <v/>
      </c>
      <c r="AB693" s="5" t="str">
        <f t="shared" si="109"/>
        <v/>
      </c>
    </row>
    <row r="694" spans="1:28" ht="12" customHeight="1">
      <c r="A694" s="22">
        <v>702</v>
      </c>
      <c r="B694" s="30"/>
      <c r="C694" s="30"/>
      <c r="D694" s="29"/>
      <c r="E694" s="29"/>
      <c r="F694" s="29"/>
      <c r="G694" s="29"/>
      <c r="H694" s="29"/>
      <c r="I694" s="25" t="str">
        <f t="shared" si="100"/>
        <v/>
      </c>
      <c r="J694" s="29"/>
      <c r="K694" s="25" t="str">
        <f t="shared" si="101"/>
        <v/>
      </c>
      <c r="L694" s="26" t="str">
        <f t="shared" si="102"/>
        <v/>
      </c>
      <c r="M694" s="29"/>
      <c r="N694" s="29"/>
      <c r="O694" s="29"/>
      <c r="P694" s="29"/>
      <c r="Q694" s="29"/>
      <c r="R694" s="29"/>
      <c r="S694" s="29"/>
      <c r="T694" s="29"/>
      <c r="U694" s="26" t="str">
        <f t="shared" si="103"/>
        <v/>
      </c>
      <c r="V694" s="26"/>
      <c r="W694" s="26" t="str">
        <f t="shared" si="104"/>
        <v/>
      </c>
      <c r="X694" s="26" t="str">
        <f t="shared" si="105"/>
        <v/>
      </c>
      <c r="Y694" s="26" t="str">
        <f t="shared" si="106"/>
        <v/>
      </c>
      <c r="Z694" s="26" t="str">
        <f t="shared" si="107"/>
        <v/>
      </c>
      <c r="AA694" s="26" t="str">
        <f t="shared" si="108"/>
        <v/>
      </c>
      <c r="AB694" s="5" t="str">
        <f t="shared" si="109"/>
        <v/>
      </c>
    </row>
    <row r="695" spans="1:28" ht="12" customHeight="1">
      <c r="A695" s="22">
        <v>703</v>
      </c>
      <c r="B695" s="30"/>
      <c r="C695" s="30"/>
      <c r="D695" s="29"/>
      <c r="E695" s="29"/>
      <c r="F695" s="29"/>
      <c r="G695" s="29"/>
      <c r="H695" s="29"/>
      <c r="I695" s="25" t="str">
        <f t="shared" si="100"/>
        <v/>
      </c>
      <c r="J695" s="29"/>
      <c r="K695" s="25" t="str">
        <f t="shared" si="101"/>
        <v/>
      </c>
      <c r="L695" s="26" t="str">
        <f t="shared" si="102"/>
        <v/>
      </c>
      <c r="M695" s="29"/>
      <c r="N695" s="29"/>
      <c r="O695" s="29"/>
      <c r="P695" s="29"/>
      <c r="Q695" s="29"/>
      <c r="R695" s="29"/>
      <c r="S695" s="29"/>
      <c r="T695" s="29"/>
      <c r="U695" s="26" t="str">
        <f t="shared" si="103"/>
        <v/>
      </c>
      <c r="V695" s="26"/>
      <c r="W695" s="26" t="str">
        <f t="shared" si="104"/>
        <v/>
      </c>
      <c r="X695" s="26" t="str">
        <f t="shared" si="105"/>
        <v/>
      </c>
      <c r="Y695" s="26" t="str">
        <f t="shared" si="106"/>
        <v/>
      </c>
      <c r="Z695" s="26" t="str">
        <f t="shared" si="107"/>
        <v/>
      </c>
      <c r="AA695" s="26" t="str">
        <f t="shared" si="108"/>
        <v/>
      </c>
      <c r="AB695" s="5" t="str">
        <f t="shared" si="109"/>
        <v/>
      </c>
    </row>
    <row r="696" spans="1:28" ht="12" customHeight="1">
      <c r="A696" s="22">
        <v>704</v>
      </c>
      <c r="B696" s="30"/>
      <c r="C696" s="30"/>
      <c r="D696" s="29"/>
      <c r="E696" s="29"/>
      <c r="F696" s="29"/>
      <c r="G696" s="29"/>
      <c r="H696" s="29"/>
      <c r="I696" s="25" t="str">
        <f t="shared" si="100"/>
        <v/>
      </c>
      <c r="J696" s="29"/>
      <c r="K696" s="25" t="str">
        <f t="shared" si="101"/>
        <v/>
      </c>
      <c r="L696" s="26" t="str">
        <f t="shared" si="102"/>
        <v/>
      </c>
      <c r="M696" s="29"/>
      <c r="N696" s="29"/>
      <c r="O696" s="29"/>
      <c r="P696" s="29"/>
      <c r="Q696" s="29"/>
      <c r="R696" s="29"/>
      <c r="S696" s="29"/>
      <c r="T696" s="29"/>
      <c r="U696" s="26" t="str">
        <f t="shared" si="103"/>
        <v/>
      </c>
      <c r="V696" s="26"/>
      <c r="W696" s="26" t="str">
        <f t="shared" si="104"/>
        <v/>
      </c>
      <c r="X696" s="26" t="str">
        <f t="shared" si="105"/>
        <v/>
      </c>
      <c r="Y696" s="26" t="str">
        <f t="shared" si="106"/>
        <v/>
      </c>
      <c r="Z696" s="26" t="str">
        <f t="shared" si="107"/>
        <v/>
      </c>
      <c r="AA696" s="26" t="str">
        <f t="shared" si="108"/>
        <v/>
      </c>
      <c r="AB696" s="5" t="str">
        <f t="shared" si="109"/>
        <v/>
      </c>
    </row>
    <row r="697" spans="1:28" ht="12" customHeight="1">
      <c r="A697" s="22">
        <v>705</v>
      </c>
      <c r="B697" s="30"/>
      <c r="C697" s="30"/>
      <c r="D697" s="29"/>
      <c r="E697" s="29"/>
      <c r="F697" s="29"/>
      <c r="G697" s="29"/>
      <c r="H697" s="29"/>
      <c r="I697" s="25" t="str">
        <f t="shared" si="100"/>
        <v/>
      </c>
      <c r="J697" s="29"/>
      <c r="K697" s="25" t="str">
        <f t="shared" si="101"/>
        <v/>
      </c>
      <c r="L697" s="26" t="str">
        <f t="shared" si="102"/>
        <v/>
      </c>
      <c r="M697" s="29"/>
      <c r="N697" s="29"/>
      <c r="O697" s="29"/>
      <c r="P697" s="29"/>
      <c r="Q697" s="29"/>
      <c r="R697" s="29"/>
      <c r="S697" s="29"/>
      <c r="T697" s="29"/>
      <c r="U697" s="26" t="str">
        <f t="shared" si="103"/>
        <v/>
      </c>
      <c r="V697" s="26"/>
      <c r="W697" s="26" t="str">
        <f t="shared" si="104"/>
        <v/>
      </c>
      <c r="X697" s="26" t="str">
        <f t="shared" si="105"/>
        <v/>
      </c>
      <c r="Y697" s="26" t="str">
        <f t="shared" si="106"/>
        <v/>
      </c>
      <c r="Z697" s="26" t="str">
        <f t="shared" si="107"/>
        <v/>
      </c>
      <c r="AA697" s="26" t="str">
        <f t="shared" si="108"/>
        <v/>
      </c>
      <c r="AB697" s="5" t="str">
        <f t="shared" si="109"/>
        <v/>
      </c>
    </row>
    <row r="698" spans="1:28" ht="12" customHeight="1">
      <c r="A698" s="22">
        <v>706</v>
      </c>
      <c r="B698" s="30"/>
      <c r="C698" s="30"/>
      <c r="D698" s="29"/>
      <c r="E698" s="29"/>
      <c r="F698" s="29"/>
      <c r="G698" s="29"/>
      <c r="H698" s="29"/>
      <c r="I698" s="25" t="str">
        <f t="shared" si="100"/>
        <v/>
      </c>
      <c r="J698" s="29"/>
      <c r="K698" s="25" t="str">
        <f t="shared" si="101"/>
        <v/>
      </c>
      <c r="L698" s="26" t="str">
        <f t="shared" si="102"/>
        <v/>
      </c>
      <c r="M698" s="29"/>
      <c r="N698" s="29"/>
      <c r="O698" s="29"/>
      <c r="P698" s="29"/>
      <c r="Q698" s="29"/>
      <c r="R698" s="29"/>
      <c r="S698" s="29"/>
      <c r="T698" s="29"/>
      <c r="U698" s="26" t="str">
        <f t="shared" si="103"/>
        <v/>
      </c>
      <c r="V698" s="26"/>
      <c r="W698" s="26" t="str">
        <f t="shared" si="104"/>
        <v/>
      </c>
      <c r="X698" s="26" t="str">
        <f t="shared" si="105"/>
        <v/>
      </c>
      <c r="Y698" s="26" t="str">
        <f t="shared" si="106"/>
        <v/>
      </c>
      <c r="Z698" s="26" t="str">
        <f t="shared" si="107"/>
        <v/>
      </c>
      <c r="AA698" s="26" t="str">
        <f t="shared" si="108"/>
        <v/>
      </c>
      <c r="AB698" s="5" t="str">
        <f t="shared" si="109"/>
        <v/>
      </c>
    </row>
    <row r="699" spans="1:28" ht="12" customHeight="1">
      <c r="A699" s="22">
        <v>707</v>
      </c>
      <c r="B699" s="30"/>
      <c r="C699" s="30"/>
      <c r="D699" s="29"/>
      <c r="E699" s="29"/>
      <c r="F699" s="29"/>
      <c r="G699" s="29"/>
      <c r="H699" s="29"/>
      <c r="I699" s="25" t="str">
        <f t="shared" si="100"/>
        <v/>
      </c>
      <c r="J699" s="29"/>
      <c r="K699" s="25" t="str">
        <f t="shared" si="101"/>
        <v/>
      </c>
      <c r="L699" s="26" t="str">
        <f t="shared" si="102"/>
        <v/>
      </c>
      <c r="M699" s="29"/>
      <c r="N699" s="29"/>
      <c r="O699" s="29"/>
      <c r="P699" s="29"/>
      <c r="Q699" s="29"/>
      <c r="R699" s="29"/>
      <c r="S699" s="29"/>
      <c r="T699" s="29"/>
      <c r="U699" s="26" t="str">
        <f t="shared" si="103"/>
        <v/>
      </c>
      <c r="V699" s="26"/>
      <c r="W699" s="26" t="str">
        <f t="shared" si="104"/>
        <v/>
      </c>
      <c r="X699" s="26" t="str">
        <f t="shared" si="105"/>
        <v/>
      </c>
      <c r="Y699" s="26" t="str">
        <f t="shared" si="106"/>
        <v/>
      </c>
      <c r="Z699" s="26" t="str">
        <f t="shared" si="107"/>
        <v/>
      </c>
      <c r="AA699" s="26" t="str">
        <f t="shared" si="108"/>
        <v/>
      </c>
      <c r="AB699" s="5" t="str">
        <f t="shared" si="109"/>
        <v/>
      </c>
    </row>
    <row r="700" spans="1:28" ht="12" customHeight="1">
      <c r="A700" s="22">
        <v>708</v>
      </c>
      <c r="B700" s="30"/>
      <c r="C700" s="30"/>
      <c r="D700" s="29"/>
      <c r="E700" s="29"/>
      <c r="F700" s="29"/>
      <c r="G700" s="29"/>
      <c r="H700" s="29"/>
      <c r="I700" s="25" t="str">
        <f t="shared" si="100"/>
        <v/>
      </c>
      <c r="J700" s="29"/>
      <c r="K700" s="25" t="str">
        <f t="shared" si="101"/>
        <v/>
      </c>
      <c r="L700" s="26" t="str">
        <f t="shared" si="102"/>
        <v/>
      </c>
      <c r="M700" s="29"/>
      <c r="N700" s="29"/>
      <c r="O700" s="29"/>
      <c r="P700" s="29"/>
      <c r="Q700" s="29"/>
      <c r="R700" s="29"/>
      <c r="S700" s="29"/>
      <c r="T700" s="29"/>
      <c r="U700" s="26" t="str">
        <f t="shared" si="103"/>
        <v/>
      </c>
      <c r="V700" s="26"/>
      <c r="W700" s="26" t="str">
        <f t="shared" si="104"/>
        <v/>
      </c>
      <c r="X700" s="26" t="str">
        <f t="shared" si="105"/>
        <v/>
      </c>
      <c r="Y700" s="26" t="str">
        <f t="shared" si="106"/>
        <v/>
      </c>
      <c r="Z700" s="26" t="str">
        <f t="shared" si="107"/>
        <v/>
      </c>
      <c r="AA700" s="26" t="str">
        <f t="shared" si="108"/>
        <v/>
      </c>
      <c r="AB700" s="5" t="str">
        <f t="shared" si="109"/>
        <v/>
      </c>
    </row>
    <row r="701" spans="1:28" ht="12" customHeight="1">
      <c r="A701" s="22">
        <v>709</v>
      </c>
      <c r="B701" s="30"/>
      <c r="C701" s="30"/>
      <c r="D701" s="29"/>
      <c r="E701" s="29"/>
      <c r="F701" s="29"/>
      <c r="G701" s="29"/>
      <c r="H701" s="29"/>
      <c r="I701" s="25" t="str">
        <f t="shared" si="100"/>
        <v/>
      </c>
      <c r="J701" s="29"/>
      <c r="K701" s="25" t="str">
        <f t="shared" si="101"/>
        <v/>
      </c>
      <c r="L701" s="26" t="str">
        <f t="shared" si="102"/>
        <v/>
      </c>
      <c r="M701" s="29"/>
      <c r="N701" s="29"/>
      <c r="O701" s="29"/>
      <c r="P701" s="29"/>
      <c r="Q701" s="29"/>
      <c r="R701" s="29"/>
      <c r="S701" s="29"/>
      <c r="T701" s="29"/>
      <c r="U701" s="26" t="str">
        <f t="shared" si="103"/>
        <v/>
      </c>
      <c r="V701" s="26"/>
      <c r="W701" s="26" t="str">
        <f t="shared" si="104"/>
        <v/>
      </c>
      <c r="X701" s="26" t="str">
        <f t="shared" si="105"/>
        <v/>
      </c>
      <c r="Y701" s="26" t="str">
        <f t="shared" si="106"/>
        <v/>
      </c>
      <c r="Z701" s="26" t="str">
        <f t="shared" si="107"/>
        <v/>
      </c>
      <c r="AA701" s="26" t="str">
        <f t="shared" si="108"/>
        <v/>
      </c>
      <c r="AB701" s="5" t="str">
        <f t="shared" si="109"/>
        <v/>
      </c>
    </row>
    <row r="702" spans="1:28" ht="12" customHeight="1">
      <c r="A702" s="22">
        <v>710</v>
      </c>
      <c r="B702" s="30"/>
      <c r="C702" s="30"/>
      <c r="D702" s="29"/>
      <c r="E702" s="29"/>
      <c r="F702" s="29"/>
      <c r="G702" s="29"/>
      <c r="H702" s="29"/>
      <c r="I702" s="25" t="str">
        <f t="shared" si="100"/>
        <v/>
      </c>
      <c r="J702" s="29"/>
      <c r="K702" s="25" t="str">
        <f t="shared" si="101"/>
        <v/>
      </c>
      <c r="L702" s="26" t="str">
        <f t="shared" si="102"/>
        <v/>
      </c>
      <c r="M702" s="29"/>
      <c r="N702" s="29"/>
      <c r="O702" s="29"/>
      <c r="P702" s="29"/>
      <c r="Q702" s="29"/>
      <c r="R702" s="29"/>
      <c r="S702" s="29"/>
      <c r="T702" s="29"/>
      <c r="U702" s="26" t="str">
        <f t="shared" si="103"/>
        <v/>
      </c>
      <c r="V702" s="26"/>
      <c r="W702" s="26" t="str">
        <f t="shared" si="104"/>
        <v/>
      </c>
      <c r="X702" s="26" t="str">
        <f t="shared" si="105"/>
        <v/>
      </c>
      <c r="Y702" s="26" t="str">
        <f t="shared" si="106"/>
        <v/>
      </c>
      <c r="Z702" s="26" t="str">
        <f t="shared" si="107"/>
        <v/>
      </c>
      <c r="AA702" s="26" t="str">
        <f t="shared" si="108"/>
        <v/>
      </c>
      <c r="AB702" s="5" t="str">
        <f t="shared" si="109"/>
        <v/>
      </c>
    </row>
    <row r="703" spans="1:28" ht="12" customHeight="1">
      <c r="A703" s="22">
        <v>711</v>
      </c>
      <c r="B703" s="30"/>
      <c r="C703" s="30"/>
      <c r="D703" s="29"/>
      <c r="E703" s="29"/>
      <c r="F703" s="29"/>
      <c r="G703" s="29"/>
      <c r="H703" s="29"/>
      <c r="I703" s="25" t="str">
        <f t="shared" si="100"/>
        <v/>
      </c>
      <c r="J703" s="29"/>
      <c r="K703" s="25" t="str">
        <f t="shared" si="101"/>
        <v/>
      </c>
      <c r="L703" s="26" t="str">
        <f t="shared" si="102"/>
        <v/>
      </c>
      <c r="M703" s="29"/>
      <c r="N703" s="29"/>
      <c r="O703" s="29"/>
      <c r="P703" s="29"/>
      <c r="Q703" s="29"/>
      <c r="R703" s="29"/>
      <c r="S703" s="29"/>
      <c r="T703" s="29"/>
      <c r="U703" s="26" t="str">
        <f t="shared" si="103"/>
        <v/>
      </c>
      <c r="V703" s="26"/>
      <c r="W703" s="26" t="str">
        <f t="shared" si="104"/>
        <v/>
      </c>
      <c r="X703" s="26" t="str">
        <f t="shared" si="105"/>
        <v/>
      </c>
      <c r="Y703" s="26" t="str">
        <f t="shared" si="106"/>
        <v/>
      </c>
      <c r="Z703" s="26" t="str">
        <f t="shared" si="107"/>
        <v/>
      </c>
      <c r="AA703" s="26" t="str">
        <f t="shared" si="108"/>
        <v/>
      </c>
      <c r="AB703" s="5" t="str">
        <f t="shared" si="109"/>
        <v/>
      </c>
    </row>
    <row r="704" spans="1:28" ht="12" customHeight="1">
      <c r="A704" s="22">
        <v>712</v>
      </c>
      <c r="B704" s="30"/>
      <c r="C704" s="30"/>
      <c r="D704" s="29"/>
      <c r="E704" s="29"/>
      <c r="F704" s="29"/>
      <c r="G704" s="29"/>
      <c r="H704" s="29"/>
      <c r="I704" s="25" t="str">
        <f t="shared" si="100"/>
        <v/>
      </c>
      <c r="J704" s="29"/>
      <c r="K704" s="25" t="str">
        <f t="shared" si="101"/>
        <v/>
      </c>
      <c r="L704" s="26" t="str">
        <f t="shared" si="102"/>
        <v/>
      </c>
      <c r="M704" s="29"/>
      <c r="N704" s="29"/>
      <c r="O704" s="29"/>
      <c r="P704" s="29"/>
      <c r="Q704" s="29"/>
      <c r="R704" s="29"/>
      <c r="S704" s="29"/>
      <c r="T704" s="29"/>
      <c r="U704" s="26" t="str">
        <f t="shared" si="103"/>
        <v/>
      </c>
      <c r="V704" s="26"/>
      <c r="W704" s="26" t="str">
        <f t="shared" si="104"/>
        <v/>
      </c>
      <c r="X704" s="26" t="str">
        <f t="shared" si="105"/>
        <v/>
      </c>
      <c r="Y704" s="26" t="str">
        <f t="shared" si="106"/>
        <v/>
      </c>
      <c r="Z704" s="26" t="str">
        <f t="shared" si="107"/>
        <v/>
      </c>
      <c r="AA704" s="26" t="str">
        <f t="shared" si="108"/>
        <v/>
      </c>
      <c r="AB704" s="5" t="str">
        <f t="shared" si="109"/>
        <v/>
      </c>
    </row>
    <row r="705" spans="1:28" ht="12" customHeight="1">
      <c r="A705" s="22">
        <v>713</v>
      </c>
      <c r="B705" s="30"/>
      <c r="C705" s="30"/>
      <c r="D705" s="29"/>
      <c r="E705" s="29"/>
      <c r="F705" s="29"/>
      <c r="G705" s="29"/>
      <c r="H705" s="29"/>
      <c r="I705" s="25" t="str">
        <f t="shared" si="100"/>
        <v/>
      </c>
      <c r="J705" s="29"/>
      <c r="K705" s="25" t="str">
        <f t="shared" si="101"/>
        <v/>
      </c>
      <c r="L705" s="26" t="str">
        <f t="shared" si="102"/>
        <v/>
      </c>
      <c r="M705" s="29"/>
      <c r="N705" s="29"/>
      <c r="O705" s="29"/>
      <c r="P705" s="29"/>
      <c r="Q705" s="29"/>
      <c r="R705" s="29"/>
      <c r="S705" s="29"/>
      <c r="T705" s="29"/>
      <c r="U705" s="26" t="str">
        <f t="shared" si="103"/>
        <v/>
      </c>
      <c r="V705" s="26"/>
      <c r="W705" s="26" t="str">
        <f t="shared" si="104"/>
        <v/>
      </c>
      <c r="X705" s="26" t="str">
        <f t="shared" si="105"/>
        <v/>
      </c>
      <c r="Y705" s="26" t="str">
        <f t="shared" si="106"/>
        <v/>
      </c>
      <c r="Z705" s="26" t="str">
        <f t="shared" si="107"/>
        <v/>
      </c>
      <c r="AA705" s="26" t="str">
        <f t="shared" si="108"/>
        <v/>
      </c>
      <c r="AB705" s="5" t="str">
        <f t="shared" si="109"/>
        <v/>
      </c>
    </row>
    <row r="706" spans="1:28" ht="12" customHeight="1">
      <c r="A706" s="22">
        <v>714</v>
      </c>
      <c r="B706" s="30"/>
      <c r="C706" s="30"/>
      <c r="D706" s="29"/>
      <c r="E706" s="29"/>
      <c r="F706" s="29"/>
      <c r="G706" s="29"/>
      <c r="H706" s="29"/>
      <c r="I706" s="25" t="str">
        <f t="shared" si="100"/>
        <v/>
      </c>
      <c r="J706" s="29"/>
      <c r="K706" s="25" t="str">
        <f t="shared" si="101"/>
        <v/>
      </c>
      <c r="L706" s="26" t="str">
        <f t="shared" si="102"/>
        <v/>
      </c>
      <c r="M706" s="29"/>
      <c r="N706" s="29"/>
      <c r="O706" s="29"/>
      <c r="P706" s="29"/>
      <c r="Q706" s="29"/>
      <c r="R706" s="29"/>
      <c r="S706" s="29"/>
      <c r="T706" s="29"/>
      <c r="U706" s="26" t="str">
        <f t="shared" si="103"/>
        <v/>
      </c>
      <c r="V706" s="26"/>
      <c r="W706" s="26" t="str">
        <f t="shared" si="104"/>
        <v/>
      </c>
      <c r="X706" s="26" t="str">
        <f t="shared" si="105"/>
        <v/>
      </c>
      <c r="Y706" s="26" t="str">
        <f t="shared" si="106"/>
        <v/>
      </c>
      <c r="Z706" s="26" t="str">
        <f t="shared" si="107"/>
        <v/>
      </c>
      <c r="AA706" s="26" t="str">
        <f t="shared" si="108"/>
        <v/>
      </c>
      <c r="AB706" s="5" t="str">
        <f t="shared" si="109"/>
        <v/>
      </c>
    </row>
    <row r="707" spans="1:28" ht="12" customHeight="1">
      <c r="A707" s="22">
        <v>715</v>
      </c>
      <c r="B707" s="30"/>
      <c r="C707" s="30"/>
      <c r="D707" s="29"/>
      <c r="E707" s="29"/>
      <c r="F707" s="29"/>
      <c r="G707" s="29"/>
      <c r="H707" s="29"/>
      <c r="I707" s="25" t="str">
        <f t="shared" si="100"/>
        <v/>
      </c>
      <c r="J707" s="29"/>
      <c r="K707" s="25" t="str">
        <f t="shared" si="101"/>
        <v/>
      </c>
      <c r="L707" s="26" t="str">
        <f t="shared" si="102"/>
        <v/>
      </c>
      <c r="M707" s="29"/>
      <c r="N707" s="29"/>
      <c r="O707" s="29"/>
      <c r="P707" s="29"/>
      <c r="Q707" s="29"/>
      <c r="R707" s="29"/>
      <c r="S707" s="29"/>
      <c r="T707" s="29"/>
      <c r="U707" s="26" t="str">
        <f t="shared" si="103"/>
        <v/>
      </c>
      <c r="V707" s="26"/>
      <c r="W707" s="26" t="str">
        <f t="shared" si="104"/>
        <v/>
      </c>
      <c r="X707" s="26" t="str">
        <f t="shared" si="105"/>
        <v/>
      </c>
      <c r="Y707" s="26" t="str">
        <f t="shared" si="106"/>
        <v/>
      </c>
      <c r="Z707" s="26" t="str">
        <f t="shared" si="107"/>
        <v/>
      </c>
      <c r="AA707" s="26" t="str">
        <f t="shared" si="108"/>
        <v/>
      </c>
      <c r="AB707" s="5" t="str">
        <f t="shared" si="109"/>
        <v/>
      </c>
    </row>
    <row r="708" spans="1:28" ht="12" customHeight="1">
      <c r="A708" s="22">
        <v>716</v>
      </c>
      <c r="B708" s="30"/>
      <c r="C708" s="30"/>
      <c r="D708" s="29"/>
      <c r="E708" s="29"/>
      <c r="F708" s="29"/>
      <c r="G708" s="29"/>
      <c r="H708" s="29"/>
      <c r="I708" s="25" t="str">
        <f t="shared" si="100"/>
        <v/>
      </c>
      <c r="J708" s="29"/>
      <c r="K708" s="25" t="str">
        <f t="shared" si="101"/>
        <v/>
      </c>
      <c r="L708" s="26" t="str">
        <f t="shared" si="102"/>
        <v/>
      </c>
      <c r="M708" s="29"/>
      <c r="N708" s="29"/>
      <c r="O708" s="29"/>
      <c r="P708" s="29"/>
      <c r="Q708" s="29"/>
      <c r="R708" s="29"/>
      <c r="S708" s="29"/>
      <c r="T708" s="29"/>
      <c r="U708" s="26" t="str">
        <f t="shared" si="103"/>
        <v/>
      </c>
      <c r="V708" s="26"/>
      <c r="W708" s="26" t="str">
        <f t="shared" si="104"/>
        <v/>
      </c>
      <c r="X708" s="26" t="str">
        <f t="shared" si="105"/>
        <v/>
      </c>
      <c r="Y708" s="26" t="str">
        <f t="shared" si="106"/>
        <v/>
      </c>
      <c r="Z708" s="26" t="str">
        <f t="shared" si="107"/>
        <v/>
      </c>
      <c r="AA708" s="26" t="str">
        <f t="shared" si="108"/>
        <v/>
      </c>
      <c r="AB708" s="5" t="str">
        <f t="shared" si="109"/>
        <v/>
      </c>
    </row>
    <row r="709" spans="1:28" ht="12" customHeight="1">
      <c r="A709" s="22">
        <v>717</v>
      </c>
      <c r="B709" s="30"/>
      <c r="C709" s="30"/>
      <c r="D709" s="29"/>
      <c r="E709" s="29"/>
      <c r="F709" s="29"/>
      <c r="G709" s="29"/>
      <c r="H709" s="29"/>
      <c r="I709" s="25" t="str">
        <f t="shared" si="100"/>
        <v/>
      </c>
      <c r="J709" s="29"/>
      <c r="K709" s="25" t="str">
        <f t="shared" si="101"/>
        <v/>
      </c>
      <c r="L709" s="26" t="str">
        <f t="shared" si="102"/>
        <v/>
      </c>
      <c r="M709" s="29"/>
      <c r="N709" s="29"/>
      <c r="O709" s="29"/>
      <c r="P709" s="29"/>
      <c r="Q709" s="29"/>
      <c r="R709" s="29"/>
      <c r="S709" s="29"/>
      <c r="T709" s="29"/>
      <c r="U709" s="26" t="str">
        <f t="shared" si="103"/>
        <v/>
      </c>
      <c r="V709" s="26"/>
      <c r="W709" s="26" t="str">
        <f t="shared" si="104"/>
        <v/>
      </c>
      <c r="X709" s="26" t="str">
        <f t="shared" si="105"/>
        <v/>
      </c>
      <c r="Y709" s="26" t="str">
        <f t="shared" si="106"/>
        <v/>
      </c>
      <c r="Z709" s="26" t="str">
        <f t="shared" si="107"/>
        <v/>
      </c>
      <c r="AA709" s="26" t="str">
        <f t="shared" si="108"/>
        <v/>
      </c>
      <c r="AB709" s="5" t="str">
        <f t="shared" si="109"/>
        <v/>
      </c>
    </row>
    <row r="710" spans="1:28" ht="12" customHeight="1">
      <c r="A710" s="22">
        <v>718</v>
      </c>
      <c r="B710" s="30"/>
      <c r="C710" s="30"/>
      <c r="D710" s="29"/>
      <c r="E710" s="29"/>
      <c r="F710" s="29"/>
      <c r="G710" s="29"/>
      <c r="H710" s="29"/>
      <c r="I710" s="25" t="str">
        <f t="shared" ref="I710:I773" si="110">IFERROR(IF(H710="Unlikely",1,IF(H710="Possible",2,IF(H710="Likely",3,IF(H710="Almost Certain",4,IF(H710="Certain",5,""))))),"")</f>
        <v/>
      </c>
      <c r="J710" s="29"/>
      <c r="K710" s="25" t="str">
        <f t="shared" ref="K710:K773" si="111">IFERROR(IF(J710="Negligible",1,IF(J710="Minor",2,IF(J710="Moderate",3,IF(J710="Major",4,IF(J710="Critical",5,""))))),"")</f>
        <v/>
      </c>
      <c r="L710" s="26" t="str">
        <f t="shared" ref="L710:L773" si="112">IF(OR(I710="",K710=""),"",I710*K710)</f>
        <v/>
      </c>
      <c r="M710" s="29"/>
      <c r="N710" s="29"/>
      <c r="O710" s="29"/>
      <c r="P710" s="29"/>
      <c r="Q710" s="29"/>
      <c r="R710" s="29"/>
      <c r="S710" s="29"/>
      <c r="T710" s="29"/>
      <c r="U710" s="26" t="str">
        <f t="shared" ref="U710:U773" si="113">IF(L710="","",IF(L710&lt;=4,"Low",IF(L710&lt;=9,"Medium",IF(L710&lt;=15,"High","Critical"))))</f>
        <v/>
      </c>
      <c r="V710" s="26"/>
      <c r="W710" s="26" t="str">
        <f t="shared" ref="W710:W773" si="114">IF(I710="","",MAX(1,I710-(IF(V710="Limited",1,IF(V710="Partial",2,IF(V710="Substantial",3,IF(V710="Highly Effective",4,0)))))))</f>
        <v/>
      </c>
      <c r="X710" s="26" t="str">
        <f t="shared" ref="X710:X773" si="115">IF(K710="","",MAX(1,K710-ROUNDDOWN((IF(V710="Limited",1,IF(V710="Partial",2,IF(V710="Substantial",3,IF(V710="Highly Effective",4,0)))))/2,0)))</f>
        <v/>
      </c>
      <c r="Y710" s="26" t="str">
        <f t="shared" ref="Y710:Y773" si="116">IF(OR(W710="",X710=""),"",W710*X710)</f>
        <v/>
      </c>
      <c r="Z710" s="26" t="str">
        <f t="shared" ref="Z710:Z773" si="117">IF(Y710="","",IF(Y710&lt;=4,"Low",IF(Y710&lt;=9,"Medium",IF(Y710&lt;=15,"High","Critical"))))</f>
        <v/>
      </c>
      <c r="AA710" s="26" t="str">
        <f t="shared" ref="AA710:AA773" si="118">IF(OR(L710="",Y710=""),"",IF(Y710&lt;L710,"Reduced by "&amp;(L710-Y710)&amp;" pts",IF(Y710=L710,"No Change","Increased by "&amp;(Y710-L710)&amp;" pts")))</f>
        <v/>
      </c>
      <c r="AB710" s="5" t="str">
        <f t="shared" ref="AB710:AB773" si="119">IF(Y710="","",Y710+(ROW()/10000000))</f>
        <v/>
      </c>
    </row>
    <row r="711" spans="1:28" ht="12" customHeight="1">
      <c r="A711" s="22">
        <v>719</v>
      </c>
      <c r="B711" s="30"/>
      <c r="C711" s="30"/>
      <c r="D711" s="29"/>
      <c r="E711" s="29"/>
      <c r="F711" s="29"/>
      <c r="G711" s="29"/>
      <c r="H711" s="29"/>
      <c r="I711" s="25" t="str">
        <f t="shared" si="110"/>
        <v/>
      </c>
      <c r="J711" s="29"/>
      <c r="K711" s="25" t="str">
        <f t="shared" si="111"/>
        <v/>
      </c>
      <c r="L711" s="26" t="str">
        <f t="shared" si="112"/>
        <v/>
      </c>
      <c r="M711" s="29"/>
      <c r="N711" s="29"/>
      <c r="O711" s="29"/>
      <c r="P711" s="29"/>
      <c r="Q711" s="29"/>
      <c r="R711" s="29"/>
      <c r="S711" s="29"/>
      <c r="T711" s="29"/>
      <c r="U711" s="26" t="str">
        <f t="shared" si="113"/>
        <v/>
      </c>
      <c r="V711" s="26"/>
      <c r="W711" s="26" t="str">
        <f t="shared" si="114"/>
        <v/>
      </c>
      <c r="X711" s="26" t="str">
        <f t="shared" si="115"/>
        <v/>
      </c>
      <c r="Y711" s="26" t="str">
        <f t="shared" si="116"/>
        <v/>
      </c>
      <c r="Z711" s="26" t="str">
        <f t="shared" si="117"/>
        <v/>
      </c>
      <c r="AA711" s="26" t="str">
        <f t="shared" si="118"/>
        <v/>
      </c>
      <c r="AB711" s="5" t="str">
        <f t="shared" si="119"/>
        <v/>
      </c>
    </row>
    <row r="712" spans="1:28" ht="12" customHeight="1">
      <c r="A712" s="22">
        <v>720</v>
      </c>
      <c r="B712" s="30"/>
      <c r="C712" s="30"/>
      <c r="D712" s="29"/>
      <c r="E712" s="29"/>
      <c r="F712" s="29"/>
      <c r="G712" s="29"/>
      <c r="H712" s="29"/>
      <c r="I712" s="25" t="str">
        <f t="shared" si="110"/>
        <v/>
      </c>
      <c r="J712" s="29"/>
      <c r="K712" s="25" t="str">
        <f t="shared" si="111"/>
        <v/>
      </c>
      <c r="L712" s="26" t="str">
        <f t="shared" si="112"/>
        <v/>
      </c>
      <c r="M712" s="29"/>
      <c r="N712" s="29"/>
      <c r="O712" s="29"/>
      <c r="P712" s="29"/>
      <c r="Q712" s="29"/>
      <c r="R712" s="29"/>
      <c r="S712" s="29"/>
      <c r="T712" s="29"/>
      <c r="U712" s="26" t="str">
        <f t="shared" si="113"/>
        <v/>
      </c>
      <c r="V712" s="26"/>
      <c r="W712" s="26" t="str">
        <f t="shared" si="114"/>
        <v/>
      </c>
      <c r="X712" s="26" t="str">
        <f t="shared" si="115"/>
        <v/>
      </c>
      <c r="Y712" s="26" t="str">
        <f t="shared" si="116"/>
        <v/>
      </c>
      <c r="Z712" s="26" t="str">
        <f t="shared" si="117"/>
        <v/>
      </c>
      <c r="AA712" s="26" t="str">
        <f t="shared" si="118"/>
        <v/>
      </c>
      <c r="AB712" s="5" t="str">
        <f t="shared" si="119"/>
        <v/>
      </c>
    </row>
    <row r="713" spans="1:28" ht="12" customHeight="1">
      <c r="A713" s="22">
        <v>721</v>
      </c>
      <c r="B713" s="30"/>
      <c r="C713" s="30"/>
      <c r="D713" s="29"/>
      <c r="E713" s="29"/>
      <c r="F713" s="29"/>
      <c r="G713" s="29"/>
      <c r="H713" s="29"/>
      <c r="I713" s="25" t="str">
        <f t="shared" si="110"/>
        <v/>
      </c>
      <c r="J713" s="29"/>
      <c r="K713" s="25" t="str">
        <f t="shared" si="111"/>
        <v/>
      </c>
      <c r="L713" s="26" t="str">
        <f t="shared" si="112"/>
        <v/>
      </c>
      <c r="M713" s="29"/>
      <c r="N713" s="29"/>
      <c r="O713" s="29"/>
      <c r="P713" s="29"/>
      <c r="Q713" s="29"/>
      <c r="R713" s="29"/>
      <c r="S713" s="29"/>
      <c r="T713" s="29"/>
      <c r="U713" s="26" t="str">
        <f t="shared" si="113"/>
        <v/>
      </c>
      <c r="V713" s="26"/>
      <c r="W713" s="26" t="str">
        <f t="shared" si="114"/>
        <v/>
      </c>
      <c r="X713" s="26" t="str">
        <f t="shared" si="115"/>
        <v/>
      </c>
      <c r="Y713" s="26" t="str">
        <f t="shared" si="116"/>
        <v/>
      </c>
      <c r="Z713" s="26" t="str">
        <f t="shared" si="117"/>
        <v/>
      </c>
      <c r="AA713" s="26" t="str">
        <f t="shared" si="118"/>
        <v/>
      </c>
      <c r="AB713" s="5" t="str">
        <f t="shared" si="119"/>
        <v/>
      </c>
    </row>
    <row r="714" spans="1:28" ht="12" customHeight="1">
      <c r="A714" s="22">
        <v>722</v>
      </c>
      <c r="B714" s="30"/>
      <c r="C714" s="30"/>
      <c r="D714" s="29"/>
      <c r="E714" s="29"/>
      <c r="F714" s="29"/>
      <c r="G714" s="29"/>
      <c r="H714" s="29"/>
      <c r="I714" s="25" t="str">
        <f t="shared" si="110"/>
        <v/>
      </c>
      <c r="J714" s="29"/>
      <c r="K714" s="25" t="str">
        <f t="shared" si="111"/>
        <v/>
      </c>
      <c r="L714" s="26" t="str">
        <f t="shared" si="112"/>
        <v/>
      </c>
      <c r="M714" s="29"/>
      <c r="N714" s="29"/>
      <c r="O714" s="29"/>
      <c r="P714" s="29"/>
      <c r="Q714" s="29"/>
      <c r="R714" s="29"/>
      <c r="S714" s="29"/>
      <c r="T714" s="29"/>
      <c r="U714" s="26" t="str">
        <f t="shared" si="113"/>
        <v/>
      </c>
      <c r="V714" s="26"/>
      <c r="W714" s="26" t="str">
        <f t="shared" si="114"/>
        <v/>
      </c>
      <c r="X714" s="26" t="str">
        <f t="shared" si="115"/>
        <v/>
      </c>
      <c r="Y714" s="26" t="str">
        <f t="shared" si="116"/>
        <v/>
      </c>
      <c r="Z714" s="26" t="str">
        <f t="shared" si="117"/>
        <v/>
      </c>
      <c r="AA714" s="26" t="str">
        <f t="shared" si="118"/>
        <v/>
      </c>
      <c r="AB714" s="5" t="str">
        <f t="shared" si="119"/>
        <v/>
      </c>
    </row>
    <row r="715" spans="1:28" ht="12" customHeight="1">
      <c r="A715" s="22">
        <v>723</v>
      </c>
      <c r="B715" s="30"/>
      <c r="C715" s="30"/>
      <c r="D715" s="29"/>
      <c r="E715" s="29"/>
      <c r="F715" s="29"/>
      <c r="G715" s="29"/>
      <c r="H715" s="29"/>
      <c r="I715" s="25" t="str">
        <f t="shared" si="110"/>
        <v/>
      </c>
      <c r="J715" s="29"/>
      <c r="K715" s="25" t="str">
        <f t="shared" si="111"/>
        <v/>
      </c>
      <c r="L715" s="26" t="str">
        <f t="shared" si="112"/>
        <v/>
      </c>
      <c r="M715" s="29"/>
      <c r="N715" s="29"/>
      <c r="O715" s="29"/>
      <c r="P715" s="29"/>
      <c r="Q715" s="29"/>
      <c r="R715" s="29"/>
      <c r="S715" s="29"/>
      <c r="T715" s="29"/>
      <c r="U715" s="26" t="str">
        <f t="shared" si="113"/>
        <v/>
      </c>
      <c r="V715" s="26"/>
      <c r="W715" s="26" t="str">
        <f t="shared" si="114"/>
        <v/>
      </c>
      <c r="X715" s="26" t="str">
        <f t="shared" si="115"/>
        <v/>
      </c>
      <c r="Y715" s="26" t="str">
        <f t="shared" si="116"/>
        <v/>
      </c>
      <c r="Z715" s="26" t="str">
        <f t="shared" si="117"/>
        <v/>
      </c>
      <c r="AA715" s="26" t="str">
        <f t="shared" si="118"/>
        <v/>
      </c>
      <c r="AB715" s="5" t="str">
        <f t="shared" si="119"/>
        <v/>
      </c>
    </row>
    <row r="716" spans="1:28" ht="12" customHeight="1">
      <c r="A716" s="22">
        <v>724</v>
      </c>
      <c r="B716" s="30"/>
      <c r="C716" s="30"/>
      <c r="D716" s="29"/>
      <c r="E716" s="29"/>
      <c r="F716" s="29"/>
      <c r="G716" s="29"/>
      <c r="H716" s="29"/>
      <c r="I716" s="25" t="str">
        <f t="shared" si="110"/>
        <v/>
      </c>
      <c r="J716" s="29"/>
      <c r="K716" s="25" t="str">
        <f t="shared" si="111"/>
        <v/>
      </c>
      <c r="L716" s="26" t="str">
        <f t="shared" si="112"/>
        <v/>
      </c>
      <c r="M716" s="29"/>
      <c r="N716" s="29"/>
      <c r="O716" s="29"/>
      <c r="P716" s="29"/>
      <c r="Q716" s="29"/>
      <c r="R716" s="29"/>
      <c r="S716" s="29"/>
      <c r="T716" s="29"/>
      <c r="U716" s="26" t="str">
        <f t="shared" si="113"/>
        <v/>
      </c>
      <c r="V716" s="26"/>
      <c r="W716" s="26" t="str">
        <f t="shared" si="114"/>
        <v/>
      </c>
      <c r="X716" s="26" t="str">
        <f t="shared" si="115"/>
        <v/>
      </c>
      <c r="Y716" s="26" t="str">
        <f t="shared" si="116"/>
        <v/>
      </c>
      <c r="Z716" s="26" t="str">
        <f t="shared" si="117"/>
        <v/>
      </c>
      <c r="AA716" s="26" t="str">
        <f t="shared" si="118"/>
        <v/>
      </c>
      <c r="AB716" s="5" t="str">
        <f t="shared" si="119"/>
        <v/>
      </c>
    </row>
    <row r="717" spans="1:28" ht="12" customHeight="1">
      <c r="A717" s="22">
        <v>725</v>
      </c>
      <c r="B717" s="30"/>
      <c r="C717" s="30"/>
      <c r="D717" s="29"/>
      <c r="E717" s="29"/>
      <c r="F717" s="29"/>
      <c r="G717" s="29"/>
      <c r="H717" s="29"/>
      <c r="I717" s="25" t="str">
        <f t="shared" si="110"/>
        <v/>
      </c>
      <c r="J717" s="29"/>
      <c r="K717" s="25" t="str">
        <f t="shared" si="111"/>
        <v/>
      </c>
      <c r="L717" s="26" t="str">
        <f t="shared" si="112"/>
        <v/>
      </c>
      <c r="M717" s="29"/>
      <c r="N717" s="29"/>
      <c r="O717" s="29"/>
      <c r="P717" s="29"/>
      <c r="Q717" s="29"/>
      <c r="R717" s="29"/>
      <c r="S717" s="29"/>
      <c r="T717" s="29"/>
      <c r="U717" s="26" t="str">
        <f t="shared" si="113"/>
        <v/>
      </c>
      <c r="V717" s="26"/>
      <c r="W717" s="26" t="str">
        <f t="shared" si="114"/>
        <v/>
      </c>
      <c r="X717" s="26" t="str">
        <f t="shared" si="115"/>
        <v/>
      </c>
      <c r="Y717" s="26" t="str">
        <f t="shared" si="116"/>
        <v/>
      </c>
      <c r="Z717" s="26" t="str">
        <f t="shared" si="117"/>
        <v/>
      </c>
      <c r="AA717" s="26" t="str">
        <f t="shared" si="118"/>
        <v/>
      </c>
      <c r="AB717" s="5" t="str">
        <f t="shared" si="119"/>
        <v/>
      </c>
    </row>
    <row r="718" spans="1:28" ht="12" customHeight="1">
      <c r="A718" s="22">
        <v>726</v>
      </c>
      <c r="B718" s="30"/>
      <c r="C718" s="30"/>
      <c r="D718" s="29"/>
      <c r="E718" s="29"/>
      <c r="F718" s="29"/>
      <c r="G718" s="29"/>
      <c r="H718" s="29"/>
      <c r="I718" s="25" t="str">
        <f t="shared" si="110"/>
        <v/>
      </c>
      <c r="J718" s="29"/>
      <c r="K718" s="25" t="str">
        <f t="shared" si="111"/>
        <v/>
      </c>
      <c r="L718" s="26" t="str">
        <f t="shared" si="112"/>
        <v/>
      </c>
      <c r="M718" s="29"/>
      <c r="N718" s="29"/>
      <c r="O718" s="29"/>
      <c r="P718" s="29"/>
      <c r="Q718" s="29"/>
      <c r="R718" s="29"/>
      <c r="S718" s="29"/>
      <c r="T718" s="29"/>
      <c r="U718" s="26" t="str">
        <f t="shared" si="113"/>
        <v/>
      </c>
      <c r="V718" s="26"/>
      <c r="W718" s="26" t="str">
        <f t="shared" si="114"/>
        <v/>
      </c>
      <c r="X718" s="26" t="str">
        <f t="shared" si="115"/>
        <v/>
      </c>
      <c r="Y718" s="26" t="str">
        <f t="shared" si="116"/>
        <v/>
      </c>
      <c r="Z718" s="26" t="str">
        <f t="shared" si="117"/>
        <v/>
      </c>
      <c r="AA718" s="26" t="str">
        <f t="shared" si="118"/>
        <v/>
      </c>
      <c r="AB718" s="5" t="str">
        <f t="shared" si="119"/>
        <v/>
      </c>
    </row>
    <row r="719" spans="1:28" ht="12" customHeight="1">
      <c r="A719" s="22">
        <v>727</v>
      </c>
      <c r="B719" s="30"/>
      <c r="C719" s="30"/>
      <c r="D719" s="29"/>
      <c r="E719" s="29"/>
      <c r="F719" s="29"/>
      <c r="G719" s="29"/>
      <c r="H719" s="29"/>
      <c r="I719" s="25" t="str">
        <f t="shared" si="110"/>
        <v/>
      </c>
      <c r="J719" s="29"/>
      <c r="K719" s="25" t="str">
        <f t="shared" si="111"/>
        <v/>
      </c>
      <c r="L719" s="26" t="str">
        <f t="shared" si="112"/>
        <v/>
      </c>
      <c r="M719" s="29"/>
      <c r="N719" s="29"/>
      <c r="O719" s="29"/>
      <c r="P719" s="29"/>
      <c r="Q719" s="29"/>
      <c r="R719" s="29"/>
      <c r="S719" s="29"/>
      <c r="T719" s="29"/>
      <c r="U719" s="26" t="str">
        <f t="shared" si="113"/>
        <v/>
      </c>
      <c r="V719" s="26"/>
      <c r="W719" s="26" t="str">
        <f t="shared" si="114"/>
        <v/>
      </c>
      <c r="X719" s="26" t="str">
        <f t="shared" si="115"/>
        <v/>
      </c>
      <c r="Y719" s="26" t="str">
        <f t="shared" si="116"/>
        <v/>
      </c>
      <c r="Z719" s="26" t="str">
        <f t="shared" si="117"/>
        <v/>
      </c>
      <c r="AA719" s="26" t="str">
        <f t="shared" si="118"/>
        <v/>
      </c>
      <c r="AB719" s="5" t="str">
        <f t="shared" si="119"/>
        <v/>
      </c>
    </row>
    <row r="720" spans="1:28" ht="12" customHeight="1">
      <c r="A720" s="22">
        <v>728</v>
      </c>
      <c r="B720" s="30"/>
      <c r="C720" s="30"/>
      <c r="D720" s="29"/>
      <c r="E720" s="29"/>
      <c r="F720" s="29"/>
      <c r="G720" s="29"/>
      <c r="H720" s="29"/>
      <c r="I720" s="25" t="str">
        <f t="shared" si="110"/>
        <v/>
      </c>
      <c r="J720" s="29"/>
      <c r="K720" s="25" t="str">
        <f t="shared" si="111"/>
        <v/>
      </c>
      <c r="L720" s="26" t="str">
        <f t="shared" si="112"/>
        <v/>
      </c>
      <c r="M720" s="29"/>
      <c r="N720" s="29"/>
      <c r="O720" s="29"/>
      <c r="P720" s="29"/>
      <c r="Q720" s="29"/>
      <c r="R720" s="29"/>
      <c r="S720" s="29"/>
      <c r="T720" s="29"/>
      <c r="U720" s="26" t="str">
        <f t="shared" si="113"/>
        <v/>
      </c>
      <c r="V720" s="26"/>
      <c r="W720" s="26" t="str">
        <f t="shared" si="114"/>
        <v/>
      </c>
      <c r="X720" s="26" t="str">
        <f t="shared" si="115"/>
        <v/>
      </c>
      <c r="Y720" s="26" t="str">
        <f t="shared" si="116"/>
        <v/>
      </c>
      <c r="Z720" s="26" t="str">
        <f t="shared" si="117"/>
        <v/>
      </c>
      <c r="AA720" s="26" t="str">
        <f t="shared" si="118"/>
        <v/>
      </c>
      <c r="AB720" s="5" t="str">
        <f t="shared" si="119"/>
        <v/>
      </c>
    </row>
    <row r="721" spans="1:28" ht="12" customHeight="1">
      <c r="A721" s="22">
        <v>729</v>
      </c>
      <c r="B721" s="30"/>
      <c r="C721" s="30"/>
      <c r="D721" s="29"/>
      <c r="E721" s="29"/>
      <c r="F721" s="29"/>
      <c r="G721" s="29"/>
      <c r="H721" s="29"/>
      <c r="I721" s="25" t="str">
        <f t="shared" si="110"/>
        <v/>
      </c>
      <c r="J721" s="29"/>
      <c r="K721" s="25" t="str">
        <f t="shared" si="111"/>
        <v/>
      </c>
      <c r="L721" s="26" t="str">
        <f t="shared" si="112"/>
        <v/>
      </c>
      <c r="M721" s="29"/>
      <c r="N721" s="29"/>
      <c r="O721" s="29"/>
      <c r="P721" s="29"/>
      <c r="Q721" s="29"/>
      <c r="R721" s="29"/>
      <c r="S721" s="29"/>
      <c r="T721" s="29"/>
      <c r="U721" s="26" t="str">
        <f t="shared" si="113"/>
        <v/>
      </c>
      <c r="V721" s="26"/>
      <c r="W721" s="26" t="str">
        <f t="shared" si="114"/>
        <v/>
      </c>
      <c r="X721" s="26" t="str">
        <f t="shared" si="115"/>
        <v/>
      </c>
      <c r="Y721" s="26" t="str">
        <f t="shared" si="116"/>
        <v/>
      </c>
      <c r="Z721" s="26" t="str">
        <f t="shared" si="117"/>
        <v/>
      </c>
      <c r="AA721" s="26" t="str">
        <f t="shared" si="118"/>
        <v/>
      </c>
      <c r="AB721" s="5" t="str">
        <f t="shared" si="119"/>
        <v/>
      </c>
    </row>
    <row r="722" spans="1:28" ht="12" customHeight="1">
      <c r="A722" s="22">
        <v>730</v>
      </c>
      <c r="B722" s="30"/>
      <c r="C722" s="30"/>
      <c r="D722" s="29"/>
      <c r="E722" s="29"/>
      <c r="F722" s="29"/>
      <c r="G722" s="29"/>
      <c r="H722" s="29"/>
      <c r="I722" s="25" t="str">
        <f t="shared" si="110"/>
        <v/>
      </c>
      <c r="J722" s="29"/>
      <c r="K722" s="25" t="str">
        <f t="shared" si="111"/>
        <v/>
      </c>
      <c r="L722" s="26" t="str">
        <f t="shared" si="112"/>
        <v/>
      </c>
      <c r="M722" s="29"/>
      <c r="N722" s="29"/>
      <c r="O722" s="29"/>
      <c r="P722" s="29"/>
      <c r="Q722" s="29"/>
      <c r="R722" s="29"/>
      <c r="S722" s="29"/>
      <c r="T722" s="29"/>
      <c r="U722" s="26" t="str">
        <f t="shared" si="113"/>
        <v/>
      </c>
      <c r="V722" s="26"/>
      <c r="W722" s="26" t="str">
        <f t="shared" si="114"/>
        <v/>
      </c>
      <c r="X722" s="26" t="str">
        <f t="shared" si="115"/>
        <v/>
      </c>
      <c r="Y722" s="26" t="str">
        <f t="shared" si="116"/>
        <v/>
      </c>
      <c r="Z722" s="26" t="str">
        <f t="shared" si="117"/>
        <v/>
      </c>
      <c r="AA722" s="26" t="str">
        <f t="shared" si="118"/>
        <v/>
      </c>
      <c r="AB722" s="5" t="str">
        <f t="shared" si="119"/>
        <v/>
      </c>
    </row>
    <row r="723" spans="1:28" ht="12" customHeight="1">
      <c r="A723" s="22">
        <v>731</v>
      </c>
      <c r="B723" s="30"/>
      <c r="C723" s="30"/>
      <c r="D723" s="29"/>
      <c r="E723" s="29"/>
      <c r="F723" s="29"/>
      <c r="G723" s="29"/>
      <c r="H723" s="29"/>
      <c r="I723" s="25" t="str">
        <f t="shared" si="110"/>
        <v/>
      </c>
      <c r="J723" s="29"/>
      <c r="K723" s="25" t="str">
        <f t="shared" si="111"/>
        <v/>
      </c>
      <c r="L723" s="26" t="str">
        <f t="shared" si="112"/>
        <v/>
      </c>
      <c r="M723" s="29"/>
      <c r="N723" s="29"/>
      <c r="O723" s="29"/>
      <c r="P723" s="29"/>
      <c r="Q723" s="29"/>
      <c r="R723" s="29"/>
      <c r="S723" s="29"/>
      <c r="T723" s="29"/>
      <c r="U723" s="26" t="str">
        <f t="shared" si="113"/>
        <v/>
      </c>
      <c r="V723" s="26"/>
      <c r="W723" s="26" t="str">
        <f t="shared" si="114"/>
        <v/>
      </c>
      <c r="X723" s="26" t="str">
        <f t="shared" si="115"/>
        <v/>
      </c>
      <c r="Y723" s="26" t="str">
        <f t="shared" si="116"/>
        <v/>
      </c>
      <c r="Z723" s="26" t="str">
        <f t="shared" si="117"/>
        <v/>
      </c>
      <c r="AA723" s="26" t="str">
        <f t="shared" si="118"/>
        <v/>
      </c>
      <c r="AB723" s="5" t="str">
        <f t="shared" si="119"/>
        <v/>
      </c>
    </row>
    <row r="724" spans="1:28" ht="12" customHeight="1">
      <c r="A724" s="22">
        <v>732</v>
      </c>
      <c r="B724" s="30"/>
      <c r="C724" s="30"/>
      <c r="D724" s="29"/>
      <c r="E724" s="29"/>
      <c r="F724" s="29"/>
      <c r="G724" s="29"/>
      <c r="H724" s="29"/>
      <c r="I724" s="25" t="str">
        <f t="shared" si="110"/>
        <v/>
      </c>
      <c r="J724" s="29"/>
      <c r="K724" s="25" t="str">
        <f t="shared" si="111"/>
        <v/>
      </c>
      <c r="L724" s="26" t="str">
        <f t="shared" si="112"/>
        <v/>
      </c>
      <c r="M724" s="29"/>
      <c r="N724" s="29"/>
      <c r="O724" s="29"/>
      <c r="P724" s="29"/>
      <c r="Q724" s="29"/>
      <c r="R724" s="29"/>
      <c r="S724" s="29"/>
      <c r="T724" s="29"/>
      <c r="U724" s="26" t="str">
        <f t="shared" si="113"/>
        <v/>
      </c>
      <c r="V724" s="26"/>
      <c r="W724" s="26" t="str">
        <f t="shared" si="114"/>
        <v/>
      </c>
      <c r="X724" s="26" t="str">
        <f t="shared" si="115"/>
        <v/>
      </c>
      <c r="Y724" s="26" t="str">
        <f t="shared" si="116"/>
        <v/>
      </c>
      <c r="Z724" s="26" t="str">
        <f t="shared" si="117"/>
        <v/>
      </c>
      <c r="AA724" s="26" t="str">
        <f t="shared" si="118"/>
        <v/>
      </c>
      <c r="AB724" s="5" t="str">
        <f t="shared" si="119"/>
        <v/>
      </c>
    </row>
    <row r="725" spans="1:28" ht="12" customHeight="1">
      <c r="A725" s="22">
        <v>733</v>
      </c>
      <c r="B725" s="30"/>
      <c r="C725" s="30"/>
      <c r="D725" s="29"/>
      <c r="E725" s="29"/>
      <c r="F725" s="29"/>
      <c r="G725" s="29"/>
      <c r="H725" s="29"/>
      <c r="I725" s="25" t="str">
        <f t="shared" si="110"/>
        <v/>
      </c>
      <c r="J725" s="29"/>
      <c r="K725" s="25" t="str">
        <f t="shared" si="111"/>
        <v/>
      </c>
      <c r="L725" s="26" t="str">
        <f t="shared" si="112"/>
        <v/>
      </c>
      <c r="M725" s="29"/>
      <c r="N725" s="29"/>
      <c r="O725" s="29"/>
      <c r="P725" s="29"/>
      <c r="Q725" s="29"/>
      <c r="R725" s="29"/>
      <c r="S725" s="29"/>
      <c r="T725" s="29"/>
      <c r="U725" s="26" t="str">
        <f t="shared" si="113"/>
        <v/>
      </c>
      <c r="V725" s="26"/>
      <c r="W725" s="26" t="str">
        <f t="shared" si="114"/>
        <v/>
      </c>
      <c r="X725" s="26" t="str">
        <f t="shared" si="115"/>
        <v/>
      </c>
      <c r="Y725" s="26" t="str">
        <f t="shared" si="116"/>
        <v/>
      </c>
      <c r="Z725" s="26" t="str">
        <f t="shared" si="117"/>
        <v/>
      </c>
      <c r="AA725" s="26" t="str">
        <f t="shared" si="118"/>
        <v/>
      </c>
      <c r="AB725" s="5" t="str">
        <f t="shared" si="119"/>
        <v/>
      </c>
    </row>
    <row r="726" spans="1:28" ht="12" customHeight="1">
      <c r="A726" s="22">
        <v>734</v>
      </c>
      <c r="B726" s="30"/>
      <c r="C726" s="30"/>
      <c r="D726" s="29"/>
      <c r="E726" s="29"/>
      <c r="F726" s="29"/>
      <c r="G726" s="29"/>
      <c r="H726" s="29"/>
      <c r="I726" s="25" t="str">
        <f t="shared" si="110"/>
        <v/>
      </c>
      <c r="J726" s="29"/>
      <c r="K726" s="25" t="str">
        <f t="shared" si="111"/>
        <v/>
      </c>
      <c r="L726" s="26" t="str">
        <f t="shared" si="112"/>
        <v/>
      </c>
      <c r="M726" s="29"/>
      <c r="N726" s="29"/>
      <c r="O726" s="29"/>
      <c r="P726" s="29"/>
      <c r="Q726" s="29"/>
      <c r="R726" s="29"/>
      <c r="S726" s="29"/>
      <c r="T726" s="29"/>
      <c r="U726" s="26" t="str">
        <f t="shared" si="113"/>
        <v/>
      </c>
      <c r="V726" s="26"/>
      <c r="W726" s="26" t="str">
        <f t="shared" si="114"/>
        <v/>
      </c>
      <c r="X726" s="26" t="str">
        <f t="shared" si="115"/>
        <v/>
      </c>
      <c r="Y726" s="26" t="str">
        <f t="shared" si="116"/>
        <v/>
      </c>
      <c r="Z726" s="26" t="str">
        <f t="shared" si="117"/>
        <v/>
      </c>
      <c r="AA726" s="26" t="str">
        <f t="shared" si="118"/>
        <v/>
      </c>
      <c r="AB726" s="5" t="str">
        <f t="shared" si="119"/>
        <v/>
      </c>
    </row>
    <row r="727" spans="1:28" ht="12" customHeight="1">
      <c r="A727" s="22">
        <v>735</v>
      </c>
      <c r="B727" s="30"/>
      <c r="C727" s="30"/>
      <c r="D727" s="29"/>
      <c r="E727" s="29"/>
      <c r="F727" s="29"/>
      <c r="G727" s="29"/>
      <c r="H727" s="29"/>
      <c r="I727" s="25" t="str">
        <f t="shared" si="110"/>
        <v/>
      </c>
      <c r="J727" s="29"/>
      <c r="K727" s="25" t="str">
        <f t="shared" si="111"/>
        <v/>
      </c>
      <c r="L727" s="26" t="str">
        <f t="shared" si="112"/>
        <v/>
      </c>
      <c r="M727" s="29"/>
      <c r="N727" s="29"/>
      <c r="O727" s="29"/>
      <c r="P727" s="29"/>
      <c r="Q727" s="29"/>
      <c r="R727" s="29"/>
      <c r="S727" s="29"/>
      <c r="T727" s="29"/>
      <c r="U727" s="26" t="str">
        <f t="shared" si="113"/>
        <v/>
      </c>
      <c r="V727" s="26"/>
      <c r="W727" s="26" t="str">
        <f t="shared" si="114"/>
        <v/>
      </c>
      <c r="X727" s="26" t="str">
        <f t="shared" si="115"/>
        <v/>
      </c>
      <c r="Y727" s="26" t="str">
        <f t="shared" si="116"/>
        <v/>
      </c>
      <c r="Z727" s="26" t="str">
        <f t="shared" si="117"/>
        <v/>
      </c>
      <c r="AA727" s="26" t="str">
        <f t="shared" si="118"/>
        <v/>
      </c>
      <c r="AB727" s="5" t="str">
        <f t="shared" si="119"/>
        <v/>
      </c>
    </row>
    <row r="728" spans="1:28" ht="12" customHeight="1">
      <c r="A728" s="22">
        <v>736</v>
      </c>
      <c r="B728" s="30"/>
      <c r="C728" s="30"/>
      <c r="D728" s="29"/>
      <c r="E728" s="29"/>
      <c r="F728" s="29"/>
      <c r="G728" s="29"/>
      <c r="H728" s="29"/>
      <c r="I728" s="25" t="str">
        <f t="shared" si="110"/>
        <v/>
      </c>
      <c r="J728" s="29"/>
      <c r="K728" s="25" t="str">
        <f t="shared" si="111"/>
        <v/>
      </c>
      <c r="L728" s="26" t="str">
        <f t="shared" si="112"/>
        <v/>
      </c>
      <c r="M728" s="29"/>
      <c r="N728" s="29"/>
      <c r="O728" s="29"/>
      <c r="P728" s="29"/>
      <c r="Q728" s="29"/>
      <c r="R728" s="29"/>
      <c r="S728" s="29"/>
      <c r="T728" s="29"/>
      <c r="U728" s="26" t="str">
        <f t="shared" si="113"/>
        <v/>
      </c>
      <c r="V728" s="26"/>
      <c r="W728" s="26" t="str">
        <f t="shared" si="114"/>
        <v/>
      </c>
      <c r="X728" s="26" t="str">
        <f t="shared" si="115"/>
        <v/>
      </c>
      <c r="Y728" s="26" t="str">
        <f t="shared" si="116"/>
        <v/>
      </c>
      <c r="Z728" s="26" t="str">
        <f t="shared" si="117"/>
        <v/>
      </c>
      <c r="AA728" s="26" t="str">
        <f t="shared" si="118"/>
        <v/>
      </c>
      <c r="AB728" s="5" t="str">
        <f t="shared" si="119"/>
        <v/>
      </c>
    </row>
    <row r="729" spans="1:28" ht="12" customHeight="1">
      <c r="A729" s="22">
        <v>737</v>
      </c>
      <c r="B729" s="30"/>
      <c r="C729" s="30"/>
      <c r="D729" s="29"/>
      <c r="E729" s="29"/>
      <c r="F729" s="29"/>
      <c r="G729" s="29"/>
      <c r="H729" s="29"/>
      <c r="I729" s="25" t="str">
        <f t="shared" si="110"/>
        <v/>
      </c>
      <c r="J729" s="29"/>
      <c r="K729" s="25" t="str">
        <f t="shared" si="111"/>
        <v/>
      </c>
      <c r="L729" s="26" t="str">
        <f t="shared" si="112"/>
        <v/>
      </c>
      <c r="M729" s="29"/>
      <c r="N729" s="29"/>
      <c r="O729" s="29"/>
      <c r="P729" s="29"/>
      <c r="Q729" s="29"/>
      <c r="R729" s="29"/>
      <c r="S729" s="29"/>
      <c r="T729" s="29"/>
      <c r="U729" s="26" t="str">
        <f t="shared" si="113"/>
        <v/>
      </c>
      <c r="V729" s="26"/>
      <c r="W729" s="26" t="str">
        <f t="shared" si="114"/>
        <v/>
      </c>
      <c r="X729" s="26" t="str">
        <f t="shared" si="115"/>
        <v/>
      </c>
      <c r="Y729" s="26" t="str">
        <f t="shared" si="116"/>
        <v/>
      </c>
      <c r="Z729" s="26" t="str">
        <f t="shared" si="117"/>
        <v/>
      </c>
      <c r="AA729" s="26" t="str">
        <f t="shared" si="118"/>
        <v/>
      </c>
      <c r="AB729" s="5" t="str">
        <f t="shared" si="119"/>
        <v/>
      </c>
    </row>
    <row r="730" spans="1:28" ht="12" customHeight="1">
      <c r="A730" s="22">
        <v>738</v>
      </c>
      <c r="B730" s="30"/>
      <c r="C730" s="30"/>
      <c r="D730" s="29"/>
      <c r="E730" s="29"/>
      <c r="F730" s="29"/>
      <c r="G730" s="29"/>
      <c r="H730" s="29"/>
      <c r="I730" s="25" t="str">
        <f t="shared" si="110"/>
        <v/>
      </c>
      <c r="J730" s="29"/>
      <c r="K730" s="25" t="str">
        <f t="shared" si="111"/>
        <v/>
      </c>
      <c r="L730" s="26" t="str">
        <f t="shared" si="112"/>
        <v/>
      </c>
      <c r="M730" s="29"/>
      <c r="N730" s="29"/>
      <c r="O730" s="29"/>
      <c r="P730" s="29"/>
      <c r="Q730" s="29"/>
      <c r="R730" s="29"/>
      <c r="S730" s="29"/>
      <c r="T730" s="29"/>
      <c r="U730" s="26" t="str">
        <f t="shared" si="113"/>
        <v/>
      </c>
      <c r="V730" s="26"/>
      <c r="W730" s="26" t="str">
        <f t="shared" si="114"/>
        <v/>
      </c>
      <c r="X730" s="26" t="str">
        <f t="shared" si="115"/>
        <v/>
      </c>
      <c r="Y730" s="26" t="str">
        <f t="shared" si="116"/>
        <v/>
      </c>
      <c r="Z730" s="26" t="str">
        <f t="shared" si="117"/>
        <v/>
      </c>
      <c r="AA730" s="26" t="str">
        <f t="shared" si="118"/>
        <v/>
      </c>
      <c r="AB730" s="5" t="str">
        <f t="shared" si="119"/>
        <v/>
      </c>
    </row>
    <row r="731" spans="1:28" ht="12" customHeight="1">
      <c r="A731" s="22">
        <v>739</v>
      </c>
      <c r="B731" s="30"/>
      <c r="C731" s="30"/>
      <c r="D731" s="29"/>
      <c r="E731" s="29"/>
      <c r="F731" s="29"/>
      <c r="G731" s="29"/>
      <c r="H731" s="29"/>
      <c r="I731" s="25" t="str">
        <f t="shared" si="110"/>
        <v/>
      </c>
      <c r="J731" s="29"/>
      <c r="K731" s="25" t="str">
        <f t="shared" si="111"/>
        <v/>
      </c>
      <c r="L731" s="26" t="str">
        <f t="shared" si="112"/>
        <v/>
      </c>
      <c r="M731" s="29"/>
      <c r="N731" s="29"/>
      <c r="O731" s="29"/>
      <c r="P731" s="29"/>
      <c r="Q731" s="29"/>
      <c r="R731" s="29"/>
      <c r="S731" s="29"/>
      <c r="T731" s="29"/>
      <c r="U731" s="26" t="str">
        <f t="shared" si="113"/>
        <v/>
      </c>
      <c r="V731" s="26"/>
      <c r="W731" s="26" t="str">
        <f t="shared" si="114"/>
        <v/>
      </c>
      <c r="X731" s="26" t="str">
        <f t="shared" si="115"/>
        <v/>
      </c>
      <c r="Y731" s="26" t="str">
        <f t="shared" si="116"/>
        <v/>
      </c>
      <c r="Z731" s="26" t="str">
        <f t="shared" si="117"/>
        <v/>
      </c>
      <c r="AA731" s="26" t="str">
        <f t="shared" si="118"/>
        <v/>
      </c>
      <c r="AB731" s="5" t="str">
        <f t="shared" si="119"/>
        <v/>
      </c>
    </row>
    <row r="732" spans="1:28" ht="12" customHeight="1">
      <c r="A732" s="22">
        <v>740</v>
      </c>
      <c r="B732" s="30"/>
      <c r="C732" s="30"/>
      <c r="D732" s="29"/>
      <c r="E732" s="29"/>
      <c r="F732" s="29"/>
      <c r="G732" s="29"/>
      <c r="H732" s="29"/>
      <c r="I732" s="25" t="str">
        <f t="shared" si="110"/>
        <v/>
      </c>
      <c r="J732" s="29"/>
      <c r="K732" s="25" t="str">
        <f t="shared" si="111"/>
        <v/>
      </c>
      <c r="L732" s="26" t="str">
        <f t="shared" si="112"/>
        <v/>
      </c>
      <c r="M732" s="29"/>
      <c r="N732" s="29"/>
      <c r="O732" s="29"/>
      <c r="P732" s="29"/>
      <c r="Q732" s="29"/>
      <c r="R732" s="29"/>
      <c r="S732" s="29"/>
      <c r="T732" s="29"/>
      <c r="U732" s="26" t="str">
        <f t="shared" si="113"/>
        <v/>
      </c>
      <c r="V732" s="26"/>
      <c r="W732" s="26" t="str">
        <f t="shared" si="114"/>
        <v/>
      </c>
      <c r="X732" s="26" t="str">
        <f t="shared" si="115"/>
        <v/>
      </c>
      <c r="Y732" s="26" t="str">
        <f t="shared" si="116"/>
        <v/>
      </c>
      <c r="Z732" s="26" t="str">
        <f t="shared" si="117"/>
        <v/>
      </c>
      <c r="AA732" s="26" t="str">
        <f t="shared" si="118"/>
        <v/>
      </c>
      <c r="AB732" s="5" t="str">
        <f t="shared" si="119"/>
        <v/>
      </c>
    </row>
    <row r="733" spans="1:28" ht="12" customHeight="1">
      <c r="A733" s="22">
        <v>741</v>
      </c>
      <c r="B733" s="30"/>
      <c r="C733" s="30"/>
      <c r="D733" s="29"/>
      <c r="E733" s="29"/>
      <c r="F733" s="29"/>
      <c r="G733" s="29"/>
      <c r="H733" s="29"/>
      <c r="I733" s="25" t="str">
        <f t="shared" si="110"/>
        <v/>
      </c>
      <c r="J733" s="29"/>
      <c r="K733" s="25" t="str">
        <f t="shared" si="111"/>
        <v/>
      </c>
      <c r="L733" s="26" t="str">
        <f t="shared" si="112"/>
        <v/>
      </c>
      <c r="M733" s="29"/>
      <c r="N733" s="29"/>
      <c r="O733" s="29"/>
      <c r="P733" s="29"/>
      <c r="Q733" s="29"/>
      <c r="R733" s="29"/>
      <c r="S733" s="29"/>
      <c r="T733" s="29"/>
      <c r="U733" s="26" t="str">
        <f t="shared" si="113"/>
        <v/>
      </c>
      <c r="V733" s="26"/>
      <c r="W733" s="26" t="str">
        <f t="shared" si="114"/>
        <v/>
      </c>
      <c r="X733" s="26" t="str">
        <f t="shared" si="115"/>
        <v/>
      </c>
      <c r="Y733" s="26" t="str">
        <f t="shared" si="116"/>
        <v/>
      </c>
      <c r="Z733" s="26" t="str">
        <f t="shared" si="117"/>
        <v/>
      </c>
      <c r="AA733" s="26" t="str">
        <f t="shared" si="118"/>
        <v/>
      </c>
      <c r="AB733" s="5" t="str">
        <f t="shared" si="119"/>
        <v/>
      </c>
    </row>
    <row r="734" spans="1:28" ht="12" customHeight="1">
      <c r="A734" s="22">
        <v>742</v>
      </c>
      <c r="B734" s="30"/>
      <c r="C734" s="30"/>
      <c r="D734" s="29"/>
      <c r="E734" s="29"/>
      <c r="F734" s="29"/>
      <c r="G734" s="29"/>
      <c r="H734" s="29"/>
      <c r="I734" s="25" t="str">
        <f t="shared" si="110"/>
        <v/>
      </c>
      <c r="J734" s="29"/>
      <c r="K734" s="25" t="str">
        <f t="shared" si="111"/>
        <v/>
      </c>
      <c r="L734" s="26" t="str">
        <f t="shared" si="112"/>
        <v/>
      </c>
      <c r="M734" s="29"/>
      <c r="N734" s="29"/>
      <c r="O734" s="29"/>
      <c r="P734" s="29"/>
      <c r="Q734" s="29"/>
      <c r="R734" s="29"/>
      <c r="S734" s="29"/>
      <c r="T734" s="29"/>
      <c r="U734" s="26" t="str">
        <f t="shared" si="113"/>
        <v/>
      </c>
      <c r="V734" s="26"/>
      <c r="W734" s="26" t="str">
        <f t="shared" si="114"/>
        <v/>
      </c>
      <c r="X734" s="26" t="str">
        <f t="shared" si="115"/>
        <v/>
      </c>
      <c r="Y734" s="26" t="str">
        <f t="shared" si="116"/>
        <v/>
      </c>
      <c r="Z734" s="26" t="str">
        <f t="shared" si="117"/>
        <v/>
      </c>
      <c r="AA734" s="26" t="str">
        <f t="shared" si="118"/>
        <v/>
      </c>
      <c r="AB734" s="5" t="str">
        <f t="shared" si="119"/>
        <v/>
      </c>
    </row>
    <row r="735" spans="1:28" ht="12" customHeight="1">
      <c r="A735" s="22">
        <v>743</v>
      </c>
      <c r="B735" s="30"/>
      <c r="C735" s="30"/>
      <c r="D735" s="29"/>
      <c r="E735" s="29"/>
      <c r="F735" s="29"/>
      <c r="G735" s="29"/>
      <c r="H735" s="29"/>
      <c r="I735" s="25" t="str">
        <f t="shared" si="110"/>
        <v/>
      </c>
      <c r="J735" s="29"/>
      <c r="K735" s="25" t="str">
        <f t="shared" si="111"/>
        <v/>
      </c>
      <c r="L735" s="26" t="str">
        <f t="shared" si="112"/>
        <v/>
      </c>
      <c r="M735" s="29"/>
      <c r="N735" s="29"/>
      <c r="O735" s="29"/>
      <c r="P735" s="29"/>
      <c r="Q735" s="29"/>
      <c r="R735" s="29"/>
      <c r="S735" s="29"/>
      <c r="T735" s="29"/>
      <c r="U735" s="26" t="str">
        <f t="shared" si="113"/>
        <v/>
      </c>
      <c r="V735" s="26"/>
      <c r="W735" s="26" t="str">
        <f t="shared" si="114"/>
        <v/>
      </c>
      <c r="X735" s="26" t="str">
        <f t="shared" si="115"/>
        <v/>
      </c>
      <c r="Y735" s="26" t="str">
        <f t="shared" si="116"/>
        <v/>
      </c>
      <c r="Z735" s="26" t="str">
        <f t="shared" si="117"/>
        <v/>
      </c>
      <c r="AA735" s="26" t="str">
        <f t="shared" si="118"/>
        <v/>
      </c>
      <c r="AB735" s="5" t="str">
        <f t="shared" si="119"/>
        <v/>
      </c>
    </row>
    <row r="736" spans="1:28" ht="12" customHeight="1">
      <c r="A736" s="22">
        <v>744</v>
      </c>
      <c r="B736" s="30"/>
      <c r="C736" s="30"/>
      <c r="D736" s="29"/>
      <c r="E736" s="29"/>
      <c r="F736" s="29"/>
      <c r="G736" s="29"/>
      <c r="H736" s="29"/>
      <c r="I736" s="25" t="str">
        <f t="shared" si="110"/>
        <v/>
      </c>
      <c r="J736" s="29"/>
      <c r="K736" s="25" t="str">
        <f t="shared" si="111"/>
        <v/>
      </c>
      <c r="L736" s="26" t="str">
        <f t="shared" si="112"/>
        <v/>
      </c>
      <c r="M736" s="29"/>
      <c r="N736" s="29"/>
      <c r="O736" s="29"/>
      <c r="P736" s="29"/>
      <c r="Q736" s="29"/>
      <c r="R736" s="29"/>
      <c r="S736" s="29"/>
      <c r="T736" s="29"/>
      <c r="U736" s="26" t="str">
        <f t="shared" si="113"/>
        <v/>
      </c>
      <c r="V736" s="26"/>
      <c r="W736" s="26" t="str">
        <f t="shared" si="114"/>
        <v/>
      </c>
      <c r="X736" s="26" t="str">
        <f t="shared" si="115"/>
        <v/>
      </c>
      <c r="Y736" s="26" t="str">
        <f t="shared" si="116"/>
        <v/>
      </c>
      <c r="Z736" s="26" t="str">
        <f t="shared" si="117"/>
        <v/>
      </c>
      <c r="AA736" s="26" t="str">
        <f t="shared" si="118"/>
        <v/>
      </c>
      <c r="AB736" s="5" t="str">
        <f t="shared" si="119"/>
        <v/>
      </c>
    </row>
    <row r="737" spans="1:28" ht="12" customHeight="1">
      <c r="A737" s="22">
        <v>745</v>
      </c>
      <c r="B737" s="30"/>
      <c r="C737" s="30"/>
      <c r="D737" s="29"/>
      <c r="E737" s="29"/>
      <c r="F737" s="29"/>
      <c r="G737" s="29"/>
      <c r="H737" s="29"/>
      <c r="I737" s="25" t="str">
        <f t="shared" si="110"/>
        <v/>
      </c>
      <c r="J737" s="29"/>
      <c r="K737" s="25" t="str">
        <f t="shared" si="111"/>
        <v/>
      </c>
      <c r="L737" s="26" t="str">
        <f t="shared" si="112"/>
        <v/>
      </c>
      <c r="M737" s="29"/>
      <c r="N737" s="29"/>
      <c r="O737" s="29"/>
      <c r="P737" s="29"/>
      <c r="Q737" s="29"/>
      <c r="R737" s="29"/>
      <c r="S737" s="29"/>
      <c r="T737" s="29"/>
      <c r="U737" s="26" t="str">
        <f t="shared" si="113"/>
        <v/>
      </c>
      <c r="V737" s="26"/>
      <c r="W737" s="26" t="str">
        <f t="shared" si="114"/>
        <v/>
      </c>
      <c r="X737" s="26" t="str">
        <f t="shared" si="115"/>
        <v/>
      </c>
      <c r="Y737" s="26" t="str">
        <f t="shared" si="116"/>
        <v/>
      </c>
      <c r="Z737" s="26" t="str">
        <f t="shared" si="117"/>
        <v/>
      </c>
      <c r="AA737" s="26" t="str">
        <f t="shared" si="118"/>
        <v/>
      </c>
      <c r="AB737" s="5" t="str">
        <f t="shared" si="119"/>
        <v/>
      </c>
    </row>
    <row r="738" spans="1:28" ht="12" customHeight="1">
      <c r="A738" s="22">
        <v>746</v>
      </c>
      <c r="B738" s="30"/>
      <c r="C738" s="30"/>
      <c r="D738" s="29"/>
      <c r="E738" s="29"/>
      <c r="F738" s="29"/>
      <c r="G738" s="29"/>
      <c r="H738" s="29"/>
      <c r="I738" s="25" t="str">
        <f t="shared" si="110"/>
        <v/>
      </c>
      <c r="J738" s="29"/>
      <c r="K738" s="25" t="str">
        <f t="shared" si="111"/>
        <v/>
      </c>
      <c r="L738" s="26" t="str">
        <f t="shared" si="112"/>
        <v/>
      </c>
      <c r="M738" s="29"/>
      <c r="N738" s="29"/>
      <c r="O738" s="29"/>
      <c r="P738" s="29"/>
      <c r="Q738" s="29"/>
      <c r="R738" s="29"/>
      <c r="S738" s="29"/>
      <c r="T738" s="29"/>
      <c r="U738" s="26" t="str">
        <f t="shared" si="113"/>
        <v/>
      </c>
      <c r="V738" s="26"/>
      <c r="W738" s="26" t="str">
        <f t="shared" si="114"/>
        <v/>
      </c>
      <c r="X738" s="26" t="str">
        <f t="shared" si="115"/>
        <v/>
      </c>
      <c r="Y738" s="26" t="str">
        <f t="shared" si="116"/>
        <v/>
      </c>
      <c r="Z738" s="26" t="str">
        <f t="shared" si="117"/>
        <v/>
      </c>
      <c r="AA738" s="26" t="str">
        <f t="shared" si="118"/>
        <v/>
      </c>
      <c r="AB738" s="5" t="str">
        <f t="shared" si="119"/>
        <v/>
      </c>
    </row>
    <row r="739" spans="1:28" ht="12" customHeight="1">
      <c r="A739" s="22">
        <v>747</v>
      </c>
      <c r="B739" s="30"/>
      <c r="C739" s="30"/>
      <c r="D739" s="29"/>
      <c r="E739" s="29"/>
      <c r="F739" s="29"/>
      <c r="G739" s="29"/>
      <c r="H739" s="29"/>
      <c r="I739" s="25" t="str">
        <f t="shared" si="110"/>
        <v/>
      </c>
      <c r="J739" s="29"/>
      <c r="K739" s="25" t="str">
        <f t="shared" si="111"/>
        <v/>
      </c>
      <c r="L739" s="26" t="str">
        <f t="shared" si="112"/>
        <v/>
      </c>
      <c r="M739" s="29"/>
      <c r="N739" s="29"/>
      <c r="O739" s="29"/>
      <c r="P739" s="29"/>
      <c r="Q739" s="29"/>
      <c r="R739" s="29"/>
      <c r="S739" s="29"/>
      <c r="T739" s="29"/>
      <c r="U739" s="26" t="str">
        <f t="shared" si="113"/>
        <v/>
      </c>
      <c r="V739" s="26"/>
      <c r="W739" s="26" t="str">
        <f t="shared" si="114"/>
        <v/>
      </c>
      <c r="X739" s="26" t="str">
        <f t="shared" si="115"/>
        <v/>
      </c>
      <c r="Y739" s="26" t="str">
        <f t="shared" si="116"/>
        <v/>
      </c>
      <c r="Z739" s="26" t="str">
        <f t="shared" si="117"/>
        <v/>
      </c>
      <c r="AA739" s="26" t="str">
        <f t="shared" si="118"/>
        <v/>
      </c>
      <c r="AB739" s="5" t="str">
        <f t="shared" si="119"/>
        <v/>
      </c>
    </row>
    <row r="740" spans="1:28" ht="12" customHeight="1">
      <c r="A740" s="22">
        <v>748</v>
      </c>
      <c r="B740" s="30"/>
      <c r="C740" s="30"/>
      <c r="D740" s="29"/>
      <c r="E740" s="29"/>
      <c r="F740" s="29"/>
      <c r="G740" s="29"/>
      <c r="H740" s="29"/>
      <c r="I740" s="25" t="str">
        <f t="shared" si="110"/>
        <v/>
      </c>
      <c r="J740" s="29"/>
      <c r="K740" s="25" t="str">
        <f t="shared" si="111"/>
        <v/>
      </c>
      <c r="L740" s="26" t="str">
        <f t="shared" si="112"/>
        <v/>
      </c>
      <c r="M740" s="29"/>
      <c r="N740" s="29"/>
      <c r="O740" s="29"/>
      <c r="P740" s="29"/>
      <c r="Q740" s="29"/>
      <c r="R740" s="29"/>
      <c r="S740" s="29"/>
      <c r="T740" s="29"/>
      <c r="U740" s="26" t="str">
        <f t="shared" si="113"/>
        <v/>
      </c>
      <c r="V740" s="26"/>
      <c r="W740" s="26" t="str">
        <f t="shared" si="114"/>
        <v/>
      </c>
      <c r="X740" s="26" t="str">
        <f t="shared" si="115"/>
        <v/>
      </c>
      <c r="Y740" s="26" t="str">
        <f t="shared" si="116"/>
        <v/>
      </c>
      <c r="Z740" s="26" t="str">
        <f t="shared" si="117"/>
        <v/>
      </c>
      <c r="AA740" s="26" t="str">
        <f t="shared" si="118"/>
        <v/>
      </c>
      <c r="AB740" s="5" t="str">
        <f t="shared" si="119"/>
        <v/>
      </c>
    </row>
    <row r="741" spans="1:28" ht="12" customHeight="1">
      <c r="A741" s="22">
        <v>749</v>
      </c>
      <c r="B741" s="30"/>
      <c r="C741" s="30"/>
      <c r="D741" s="29"/>
      <c r="E741" s="29"/>
      <c r="F741" s="29"/>
      <c r="G741" s="29"/>
      <c r="H741" s="29"/>
      <c r="I741" s="25" t="str">
        <f t="shared" si="110"/>
        <v/>
      </c>
      <c r="J741" s="29"/>
      <c r="K741" s="25" t="str">
        <f t="shared" si="111"/>
        <v/>
      </c>
      <c r="L741" s="26" t="str">
        <f t="shared" si="112"/>
        <v/>
      </c>
      <c r="M741" s="29"/>
      <c r="N741" s="29"/>
      <c r="O741" s="29"/>
      <c r="P741" s="29"/>
      <c r="Q741" s="29"/>
      <c r="R741" s="29"/>
      <c r="S741" s="29"/>
      <c r="T741" s="29"/>
      <c r="U741" s="26" t="str">
        <f t="shared" si="113"/>
        <v/>
      </c>
      <c r="V741" s="26"/>
      <c r="W741" s="26" t="str">
        <f t="shared" si="114"/>
        <v/>
      </c>
      <c r="X741" s="26" t="str">
        <f t="shared" si="115"/>
        <v/>
      </c>
      <c r="Y741" s="26" t="str">
        <f t="shared" si="116"/>
        <v/>
      </c>
      <c r="Z741" s="26" t="str">
        <f t="shared" si="117"/>
        <v/>
      </c>
      <c r="AA741" s="26" t="str">
        <f t="shared" si="118"/>
        <v/>
      </c>
      <c r="AB741" s="5" t="str">
        <f t="shared" si="119"/>
        <v/>
      </c>
    </row>
    <row r="742" spans="1:28" ht="12" customHeight="1">
      <c r="A742" s="22">
        <v>750</v>
      </c>
      <c r="B742" s="30"/>
      <c r="C742" s="30"/>
      <c r="D742" s="29"/>
      <c r="E742" s="29"/>
      <c r="F742" s="29"/>
      <c r="G742" s="29"/>
      <c r="H742" s="29"/>
      <c r="I742" s="25" t="str">
        <f t="shared" si="110"/>
        <v/>
      </c>
      <c r="J742" s="29"/>
      <c r="K742" s="25" t="str">
        <f t="shared" si="111"/>
        <v/>
      </c>
      <c r="L742" s="26" t="str">
        <f t="shared" si="112"/>
        <v/>
      </c>
      <c r="M742" s="29"/>
      <c r="N742" s="29"/>
      <c r="O742" s="29"/>
      <c r="P742" s="29"/>
      <c r="Q742" s="29"/>
      <c r="R742" s="29"/>
      <c r="S742" s="29"/>
      <c r="T742" s="29"/>
      <c r="U742" s="26" t="str">
        <f t="shared" si="113"/>
        <v/>
      </c>
      <c r="V742" s="26"/>
      <c r="W742" s="26" t="str">
        <f t="shared" si="114"/>
        <v/>
      </c>
      <c r="X742" s="26" t="str">
        <f t="shared" si="115"/>
        <v/>
      </c>
      <c r="Y742" s="26" t="str">
        <f t="shared" si="116"/>
        <v/>
      </c>
      <c r="Z742" s="26" t="str">
        <f t="shared" si="117"/>
        <v/>
      </c>
      <c r="AA742" s="26" t="str">
        <f t="shared" si="118"/>
        <v/>
      </c>
      <c r="AB742" s="5" t="str">
        <f t="shared" si="119"/>
        <v/>
      </c>
    </row>
    <row r="743" spans="1:28" ht="12" customHeight="1">
      <c r="A743" s="22">
        <v>751</v>
      </c>
      <c r="B743" s="30"/>
      <c r="C743" s="30"/>
      <c r="D743" s="29"/>
      <c r="E743" s="29"/>
      <c r="F743" s="29"/>
      <c r="G743" s="29"/>
      <c r="H743" s="29"/>
      <c r="I743" s="25" t="str">
        <f t="shared" si="110"/>
        <v/>
      </c>
      <c r="J743" s="29"/>
      <c r="K743" s="25" t="str">
        <f t="shared" si="111"/>
        <v/>
      </c>
      <c r="L743" s="26" t="str">
        <f t="shared" si="112"/>
        <v/>
      </c>
      <c r="M743" s="29"/>
      <c r="N743" s="29"/>
      <c r="O743" s="29"/>
      <c r="P743" s="29"/>
      <c r="Q743" s="29"/>
      <c r="R743" s="29"/>
      <c r="S743" s="29"/>
      <c r="T743" s="29"/>
      <c r="U743" s="26" t="str">
        <f t="shared" si="113"/>
        <v/>
      </c>
      <c r="V743" s="26"/>
      <c r="W743" s="26" t="str">
        <f t="shared" si="114"/>
        <v/>
      </c>
      <c r="X743" s="26" t="str">
        <f t="shared" si="115"/>
        <v/>
      </c>
      <c r="Y743" s="26" t="str">
        <f t="shared" si="116"/>
        <v/>
      </c>
      <c r="Z743" s="26" t="str">
        <f t="shared" si="117"/>
        <v/>
      </c>
      <c r="AA743" s="26" t="str">
        <f t="shared" si="118"/>
        <v/>
      </c>
      <c r="AB743" s="5" t="str">
        <f t="shared" si="119"/>
        <v/>
      </c>
    </row>
    <row r="744" spans="1:28" ht="12" customHeight="1">
      <c r="A744" s="22">
        <v>752</v>
      </c>
      <c r="B744" s="30"/>
      <c r="C744" s="30"/>
      <c r="D744" s="29"/>
      <c r="E744" s="29"/>
      <c r="F744" s="29"/>
      <c r="G744" s="29"/>
      <c r="H744" s="29"/>
      <c r="I744" s="25" t="str">
        <f t="shared" si="110"/>
        <v/>
      </c>
      <c r="J744" s="29"/>
      <c r="K744" s="25" t="str">
        <f t="shared" si="111"/>
        <v/>
      </c>
      <c r="L744" s="26" t="str">
        <f t="shared" si="112"/>
        <v/>
      </c>
      <c r="M744" s="29"/>
      <c r="N744" s="29"/>
      <c r="O744" s="29"/>
      <c r="P744" s="29"/>
      <c r="Q744" s="29"/>
      <c r="R744" s="29"/>
      <c r="S744" s="29"/>
      <c r="T744" s="29"/>
      <c r="U744" s="26" t="str">
        <f t="shared" si="113"/>
        <v/>
      </c>
      <c r="V744" s="26"/>
      <c r="W744" s="26" t="str">
        <f t="shared" si="114"/>
        <v/>
      </c>
      <c r="X744" s="26" t="str">
        <f t="shared" si="115"/>
        <v/>
      </c>
      <c r="Y744" s="26" t="str">
        <f t="shared" si="116"/>
        <v/>
      </c>
      <c r="Z744" s="26" t="str">
        <f t="shared" si="117"/>
        <v/>
      </c>
      <c r="AA744" s="26" t="str">
        <f t="shared" si="118"/>
        <v/>
      </c>
      <c r="AB744" s="5" t="str">
        <f t="shared" si="119"/>
        <v/>
      </c>
    </row>
    <row r="745" spans="1:28" ht="12" customHeight="1">
      <c r="A745" s="22">
        <v>753</v>
      </c>
      <c r="B745" s="30"/>
      <c r="C745" s="30"/>
      <c r="D745" s="29"/>
      <c r="E745" s="29"/>
      <c r="F745" s="29"/>
      <c r="G745" s="29"/>
      <c r="H745" s="29"/>
      <c r="I745" s="25" t="str">
        <f t="shared" si="110"/>
        <v/>
      </c>
      <c r="J745" s="29"/>
      <c r="K745" s="25" t="str">
        <f t="shared" si="111"/>
        <v/>
      </c>
      <c r="L745" s="26" t="str">
        <f t="shared" si="112"/>
        <v/>
      </c>
      <c r="M745" s="29"/>
      <c r="N745" s="29"/>
      <c r="O745" s="29"/>
      <c r="P745" s="29"/>
      <c r="Q745" s="29"/>
      <c r="R745" s="29"/>
      <c r="S745" s="29"/>
      <c r="T745" s="29"/>
      <c r="U745" s="26" t="str">
        <f t="shared" si="113"/>
        <v/>
      </c>
      <c r="V745" s="26"/>
      <c r="W745" s="26" t="str">
        <f t="shared" si="114"/>
        <v/>
      </c>
      <c r="X745" s="26" t="str">
        <f t="shared" si="115"/>
        <v/>
      </c>
      <c r="Y745" s="26" t="str">
        <f t="shared" si="116"/>
        <v/>
      </c>
      <c r="Z745" s="26" t="str">
        <f t="shared" si="117"/>
        <v/>
      </c>
      <c r="AA745" s="26" t="str">
        <f t="shared" si="118"/>
        <v/>
      </c>
      <c r="AB745" s="5" t="str">
        <f t="shared" si="119"/>
        <v/>
      </c>
    </row>
    <row r="746" spans="1:28" ht="12" customHeight="1">
      <c r="A746" s="22">
        <v>754</v>
      </c>
      <c r="B746" s="30"/>
      <c r="C746" s="30"/>
      <c r="D746" s="29"/>
      <c r="E746" s="29"/>
      <c r="F746" s="29"/>
      <c r="G746" s="29"/>
      <c r="H746" s="29"/>
      <c r="I746" s="25" t="str">
        <f t="shared" si="110"/>
        <v/>
      </c>
      <c r="J746" s="29"/>
      <c r="K746" s="25" t="str">
        <f t="shared" si="111"/>
        <v/>
      </c>
      <c r="L746" s="26" t="str">
        <f t="shared" si="112"/>
        <v/>
      </c>
      <c r="M746" s="29"/>
      <c r="N746" s="29"/>
      <c r="O746" s="29"/>
      <c r="P746" s="29"/>
      <c r="Q746" s="29"/>
      <c r="R746" s="29"/>
      <c r="S746" s="29"/>
      <c r="T746" s="29"/>
      <c r="U746" s="26" t="str">
        <f t="shared" si="113"/>
        <v/>
      </c>
      <c r="V746" s="26"/>
      <c r="W746" s="26" t="str">
        <f t="shared" si="114"/>
        <v/>
      </c>
      <c r="X746" s="26" t="str">
        <f t="shared" si="115"/>
        <v/>
      </c>
      <c r="Y746" s="26" t="str">
        <f t="shared" si="116"/>
        <v/>
      </c>
      <c r="Z746" s="26" t="str">
        <f t="shared" si="117"/>
        <v/>
      </c>
      <c r="AA746" s="26" t="str">
        <f t="shared" si="118"/>
        <v/>
      </c>
      <c r="AB746" s="5" t="str">
        <f t="shared" si="119"/>
        <v/>
      </c>
    </row>
    <row r="747" spans="1:28" ht="12" customHeight="1">
      <c r="A747" s="22">
        <v>755</v>
      </c>
      <c r="B747" s="30"/>
      <c r="C747" s="30"/>
      <c r="D747" s="29"/>
      <c r="E747" s="29"/>
      <c r="F747" s="29"/>
      <c r="G747" s="29"/>
      <c r="H747" s="29"/>
      <c r="I747" s="25" t="str">
        <f t="shared" si="110"/>
        <v/>
      </c>
      <c r="J747" s="29"/>
      <c r="K747" s="25" t="str">
        <f t="shared" si="111"/>
        <v/>
      </c>
      <c r="L747" s="26" t="str">
        <f t="shared" si="112"/>
        <v/>
      </c>
      <c r="M747" s="29"/>
      <c r="N747" s="29"/>
      <c r="O747" s="29"/>
      <c r="P747" s="29"/>
      <c r="Q747" s="29"/>
      <c r="R747" s="29"/>
      <c r="S747" s="29"/>
      <c r="T747" s="29"/>
      <c r="U747" s="26" t="str">
        <f t="shared" si="113"/>
        <v/>
      </c>
      <c r="V747" s="26"/>
      <c r="W747" s="26" t="str">
        <f t="shared" si="114"/>
        <v/>
      </c>
      <c r="X747" s="26" t="str">
        <f t="shared" si="115"/>
        <v/>
      </c>
      <c r="Y747" s="26" t="str">
        <f t="shared" si="116"/>
        <v/>
      </c>
      <c r="Z747" s="26" t="str">
        <f t="shared" si="117"/>
        <v/>
      </c>
      <c r="AA747" s="26" t="str">
        <f t="shared" si="118"/>
        <v/>
      </c>
      <c r="AB747" s="5" t="str">
        <f t="shared" si="119"/>
        <v/>
      </c>
    </row>
    <row r="748" spans="1:28" ht="12" customHeight="1">
      <c r="A748" s="22">
        <v>756</v>
      </c>
      <c r="B748" s="30"/>
      <c r="C748" s="30"/>
      <c r="D748" s="29"/>
      <c r="E748" s="29"/>
      <c r="F748" s="29"/>
      <c r="G748" s="29"/>
      <c r="H748" s="29"/>
      <c r="I748" s="25" t="str">
        <f t="shared" si="110"/>
        <v/>
      </c>
      <c r="J748" s="29"/>
      <c r="K748" s="25" t="str">
        <f t="shared" si="111"/>
        <v/>
      </c>
      <c r="L748" s="26" t="str">
        <f t="shared" si="112"/>
        <v/>
      </c>
      <c r="M748" s="29"/>
      <c r="N748" s="29"/>
      <c r="O748" s="29"/>
      <c r="P748" s="29"/>
      <c r="Q748" s="29"/>
      <c r="R748" s="29"/>
      <c r="S748" s="29"/>
      <c r="T748" s="29"/>
      <c r="U748" s="26" t="str">
        <f t="shared" si="113"/>
        <v/>
      </c>
      <c r="V748" s="26"/>
      <c r="W748" s="26" t="str">
        <f t="shared" si="114"/>
        <v/>
      </c>
      <c r="X748" s="26" t="str">
        <f t="shared" si="115"/>
        <v/>
      </c>
      <c r="Y748" s="26" t="str">
        <f t="shared" si="116"/>
        <v/>
      </c>
      <c r="Z748" s="26" t="str">
        <f t="shared" si="117"/>
        <v/>
      </c>
      <c r="AA748" s="26" t="str">
        <f t="shared" si="118"/>
        <v/>
      </c>
      <c r="AB748" s="5" t="str">
        <f t="shared" si="119"/>
        <v/>
      </c>
    </row>
    <row r="749" spans="1:28" ht="12" customHeight="1">
      <c r="A749" s="22">
        <v>757</v>
      </c>
      <c r="B749" s="30"/>
      <c r="C749" s="30"/>
      <c r="D749" s="29"/>
      <c r="E749" s="29"/>
      <c r="F749" s="29"/>
      <c r="G749" s="29"/>
      <c r="H749" s="29"/>
      <c r="I749" s="25" t="str">
        <f t="shared" si="110"/>
        <v/>
      </c>
      <c r="J749" s="29"/>
      <c r="K749" s="25" t="str">
        <f t="shared" si="111"/>
        <v/>
      </c>
      <c r="L749" s="26" t="str">
        <f t="shared" si="112"/>
        <v/>
      </c>
      <c r="M749" s="29"/>
      <c r="N749" s="29"/>
      <c r="O749" s="29"/>
      <c r="P749" s="29"/>
      <c r="Q749" s="29"/>
      <c r="R749" s="29"/>
      <c r="S749" s="29"/>
      <c r="T749" s="29"/>
      <c r="U749" s="26" t="str">
        <f t="shared" si="113"/>
        <v/>
      </c>
      <c r="V749" s="26"/>
      <c r="W749" s="26" t="str">
        <f t="shared" si="114"/>
        <v/>
      </c>
      <c r="X749" s="26" t="str">
        <f t="shared" si="115"/>
        <v/>
      </c>
      <c r="Y749" s="26" t="str">
        <f t="shared" si="116"/>
        <v/>
      </c>
      <c r="Z749" s="26" t="str">
        <f t="shared" si="117"/>
        <v/>
      </c>
      <c r="AA749" s="26" t="str">
        <f t="shared" si="118"/>
        <v/>
      </c>
      <c r="AB749" s="5" t="str">
        <f t="shared" si="119"/>
        <v/>
      </c>
    </row>
    <row r="750" spans="1:28" ht="12" customHeight="1">
      <c r="A750" s="22">
        <v>758</v>
      </c>
      <c r="B750" s="30"/>
      <c r="C750" s="30"/>
      <c r="D750" s="29"/>
      <c r="E750" s="29"/>
      <c r="F750" s="29"/>
      <c r="G750" s="29"/>
      <c r="H750" s="29"/>
      <c r="I750" s="25" t="str">
        <f t="shared" si="110"/>
        <v/>
      </c>
      <c r="J750" s="29"/>
      <c r="K750" s="25" t="str">
        <f t="shared" si="111"/>
        <v/>
      </c>
      <c r="L750" s="26" t="str">
        <f t="shared" si="112"/>
        <v/>
      </c>
      <c r="M750" s="29"/>
      <c r="N750" s="29"/>
      <c r="O750" s="29"/>
      <c r="P750" s="29"/>
      <c r="Q750" s="29"/>
      <c r="R750" s="29"/>
      <c r="S750" s="29"/>
      <c r="T750" s="29"/>
      <c r="U750" s="26" t="str">
        <f t="shared" si="113"/>
        <v/>
      </c>
      <c r="V750" s="26"/>
      <c r="W750" s="26" t="str">
        <f t="shared" si="114"/>
        <v/>
      </c>
      <c r="X750" s="26" t="str">
        <f t="shared" si="115"/>
        <v/>
      </c>
      <c r="Y750" s="26" t="str">
        <f t="shared" si="116"/>
        <v/>
      </c>
      <c r="Z750" s="26" t="str">
        <f t="shared" si="117"/>
        <v/>
      </c>
      <c r="AA750" s="26" t="str">
        <f t="shared" si="118"/>
        <v/>
      </c>
      <c r="AB750" s="5" t="str">
        <f t="shared" si="119"/>
        <v/>
      </c>
    </row>
    <row r="751" spans="1:28" ht="12" customHeight="1">
      <c r="A751" s="22">
        <v>759</v>
      </c>
      <c r="B751" s="30"/>
      <c r="C751" s="30"/>
      <c r="D751" s="29"/>
      <c r="E751" s="29"/>
      <c r="F751" s="29"/>
      <c r="G751" s="29"/>
      <c r="H751" s="29"/>
      <c r="I751" s="25" t="str">
        <f t="shared" si="110"/>
        <v/>
      </c>
      <c r="J751" s="29"/>
      <c r="K751" s="25" t="str">
        <f t="shared" si="111"/>
        <v/>
      </c>
      <c r="L751" s="26" t="str">
        <f t="shared" si="112"/>
        <v/>
      </c>
      <c r="M751" s="29"/>
      <c r="N751" s="29"/>
      <c r="O751" s="29"/>
      <c r="P751" s="29"/>
      <c r="Q751" s="29"/>
      <c r="R751" s="29"/>
      <c r="S751" s="29"/>
      <c r="T751" s="29"/>
      <c r="U751" s="26" t="str">
        <f t="shared" si="113"/>
        <v/>
      </c>
      <c r="V751" s="26"/>
      <c r="W751" s="26" t="str">
        <f t="shared" si="114"/>
        <v/>
      </c>
      <c r="X751" s="26" t="str">
        <f t="shared" si="115"/>
        <v/>
      </c>
      <c r="Y751" s="26" t="str">
        <f t="shared" si="116"/>
        <v/>
      </c>
      <c r="Z751" s="26" t="str">
        <f t="shared" si="117"/>
        <v/>
      </c>
      <c r="AA751" s="26" t="str">
        <f t="shared" si="118"/>
        <v/>
      </c>
      <c r="AB751" s="5" t="str">
        <f t="shared" si="119"/>
        <v/>
      </c>
    </row>
    <row r="752" spans="1:28" ht="12" customHeight="1">
      <c r="A752" s="22">
        <v>760</v>
      </c>
      <c r="B752" s="30"/>
      <c r="C752" s="30"/>
      <c r="D752" s="29"/>
      <c r="E752" s="29"/>
      <c r="F752" s="29"/>
      <c r="G752" s="29"/>
      <c r="H752" s="29"/>
      <c r="I752" s="25" t="str">
        <f t="shared" si="110"/>
        <v/>
      </c>
      <c r="J752" s="29"/>
      <c r="K752" s="25" t="str">
        <f t="shared" si="111"/>
        <v/>
      </c>
      <c r="L752" s="26" t="str">
        <f t="shared" si="112"/>
        <v/>
      </c>
      <c r="M752" s="29"/>
      <c r="N752" s="29"/>
      <c r="O752" s="29"/>
      <c r="P752" s="29"/>
      <c r="Q752" s="29"/>
      <c r="R752" s="29"/>
      <c r="S752" s="29"/>
      <c r="T752" s="29"/>
      <c r="U752" s="26" t="str">
        <f t="shared" si="113"/>
        <v/>
      </c>
      <c r="V752" s="26"/>
      <c r="W752" s="26" t="str">
        <f t="shared" si="114"/>
        <v/>
      </c>
      <c r="X752" s="26" t="str">
        <f t="shared" si="115"/>
        <v/>
      </c>
      <c r="Y752" s="26" t="str">
        <f t="shared" si="116"/>
        <v/>
      </c>
      <c r="Z752" s="26" t="str">
        <f t="shared" si="117"/>
        <v/>
      </c>
      <c r="AA752" s="26" t="str">
        <f t="shared" si="118"/>
        <v/>
      </c>
      <c r="AB752" s="5" t="str">
        <f t="shared" si="119"/>
        <v/>
      </c>
    </row>
    <row r="753" spans="1:28" ht="12" customHeight="1">
      <c r="A753" s="22">
        <v>761</v>
      </c>
      <c r="B753" s="30"/>
      <c r="C753" s="30"/>
      <c r="D753" s="29"/>
      <c r="E753" s="29"/>
      <c r="F753" s="29"/>
      <c r="G753" s="29"/>
      <c r="H753" s="29"/>
      <c r="I753" s="25" t="str">
        <f t="shared" si="110"/>
        <v/>
      </c>
      <c r="J753" s="29"/>
      <c r="K753" s="25" t="str">
        <f t="shared" si="111"/>
        <v/>
      </c>
      <c r="L753" s="26" t="str">
        <f t="shared" si="112"/>
        <v/>
      </c>
      <c r="M753" s="29"/>
      <c r="N753" s="29"/>
      <c r="O753" s="29"/>
      <c r="P753" s="29"/>
      <c r="Q753" s="29"/>
      <c r="R753" s="29"/>
      <c r="S753" s="29"/>
      <c r="T753" s="29"/>
      <c r="U753" s="26" t="str">
        <f t="shared" si="113"/>
        <v/>
      </c>
      <c r="V753" s="26"/>
      <c r="W753" s="26" t="str">
        <f t="shared" si="114"/>
        <v/>
      </c>
      <c r="X753" s="26" t="str">
        <f t="shared" si="115"/>
        <v/>
      </c>
      <c r="Y753" s="26" t="str">
        <f t="shared" si="116"/>
        <v/>
      </c>
      <c r="Z753" s="26" t="str">
        <f t="shared" si="117"/>
        <v/>
      </c>
      <c r="AA753" s="26" t="str">
        <f t="shared" si="118"/>
        <v/>
      </c>
      <c r="AB753" s="5" t="str">
        <f t="shared" si="119"/>
        <v/>
      </c>
    </row>
    <row r="754" spans="1:28" ht="12" customHeight="1">
      <c r="A754" s="22">
        <v>762</v>
      </c>
      <c r="B754" s="30"/>
      <c r="C754" s="30"/>
      <c r="D754" s="29"/>
      <c r="E754" s="29"/>
      <c r="F754" s="29"/>
      <c r="G754" s="29"/>
      <c r="H754" s="29"/>
      <c r="I754" s="25" t="str">
        <f t="shared" si="110"/>
        <v/>
      </c>
      <c r="J754" s="29"/>
      <c r="K754" s="25" t="str">
        <f t="shared" si="111"/>
        <v/>
      </c>
      <c r="L754" s="26" t="str">
        <f t="shared" si="112"/>
        <v/>
      </c>
      <c r="M754" s="29"/>
      <c r="N754" s="29"/>
      <c r="O754" s="29"/>
      <c r="P754" s="29"/>
      <c r="Q754" s="29"/>
      <c r="R754" s="29"/>
      <c r="S754" s="29"/>
      <c r="T754" s="29"/>
      <c r="U754" s="26" t="str">
        <f t="shared" si="113"/>
        <v/>
      </c>
      <c r="V754" s="26"/>
      <c r="W754" s="26" t="str">
        <f t="shared" si="114"/>
        <v/>
      </c>
      <c r="X754" s="26" t="str">
        <f t="shared" si="115"/>
        <v/>
      </c>
      <c r="Y754" s="26" t="str">
        <f t="shared" si="116"/>
        <v/>
      </c>
      <c r="Z754" s="26" t="str">
        <f t="shared" si="117"/>
        <v/>
      </c>
      <c r="AA754" s="26" t="str">
        <f t="shared" si="118"/>
        <v/>
      </c>
      <c r="AB754" s="5" t="str">
        <f t="shared" si="119"/>
        <v/>
      </c>
    </row>
    <row r="755" spans="1:28" ht="12" customHeight="1">
      <c r="A755" s="22">
        <v>763</v>
      </c>
      <c r="B755" s="30"/>
      <c r="C755" s="30"/>
      <c r="D755" s="29"/>
      <c r="E755" s="29"/>
      <c r="F755" s="29"/>
      <c r="G755" s="29"/>
      <c r="H755" s="29"/>
      <c r="I755" s="25" t="str">
        <f t="shared" si="110"/>
        <v/>
      </c>
      <c r="J755" s="29"/>
      <c r="K755" s="25" t="str">
        <f t="shared" si="111"/>
        <v/>
      </c>
      <c r="L755" s="26" t="str">
        <f t="shared" si="112"/>
        <v/>
      </c>
      <c r="M755" s="29"/>
      <c r="N755" s="29"/>
      <c r="O755" s="29"/>
      <c r="P755" s="29"/>
      <c r="Q755" s="29"/>
      <c r="R755" s="29"/>
      <c r="S755" s="29"/>
      <c r="T755" s="29"/>
      <c r="U755" s="26" t="str">
        <f t="shared" si="113"/>
        <v/>
      </c>
      <c r="V755" s="26"/>
      <c r="W755" s="26" t="str">
        <f t="shared" si="114"/>
        <v/>
      </c>
      <c r="X755" s="26" t="str">
        <f t="shared" si="115"/>
        <v/>
      </c>
      <c r="Y755" s="26" t="str">
        <f t="shared" si="116"/>
        <v/>
      </c>
      <c r="Z755" s="26" t="str">
        <f t="shared" si="117"/>
        <v/>
      </c>
      <c r="AA755" s="26" t="str">
        <f t="shared" si="118"/>
        <v/>
      </c>
      <c r="AB755" s="5" t="str">
        <f t="shared" si="119"/>
        <v/>
      </c>
    </row>
    <row r="756" spans="1:28" ht="12" customHeight="1">
      <c r="A756" s="22">
        <v>764</v>
      </c>
      <c r="B756" s="30"/>
      <c r="C756" s="30"/>
      <c r="D756" s="29"/>
      <c r="E756" s="29"/>
      <c r="F756" s="29"/>
      <c r="G756" s="29"/>
      <c r="H756" s="29"/>
      <c r="I756" s="25" t="str">
        <f t="shared" si="110"/>
        <v/>
      </c>
      <c r="J756" s="29"/>
      <c r="K756" s="25" t="str">
        <f t="shared" si="111"/>
        <v/>
      </c>
      <c r="L756" s="26" t="str">
        <f t="shared" si="112"/>
        <v/>
      </c>
      <c r="M756" s="29"/>
      <c r="N756" s="29"/>
      <c r="O756" s="29"/>
      <c r="P756" s="29"/>
      <c r="Q756" s="29"/>
      <c r="R756" s="29"/>
      <c r="S756" s="29"/>
      <c r="T756" s="29"/>
      <c r="U756" s="26" t="str">
        <f t="shared" si="113"/>
        <v/>
      </c>
      <c r="V756" s="26"/>
      <c r="W756" s="26" t="str">
        <f t="shared" si="114"/>
        <v/>
      </c>
      <c r="X756" s="26" t="str">
        <f t="shared" si="115"/>
        <v/>
      </c>
      <c r="Y756" s="26" t="str">
        <f t="shared" si="116"/>
        <v/>
      </c>
      <c r="Z756" s="26" t="str">
        <f t="shared" si="117"/>
        <v/>
      </c>
      <c r="AA756" s="26" t="str">
        <f t="shared" si="118"/>
        <v/>
      </c>
      <c r="AB756" s="5" t="str">
        <f t="shared" si="119"/>
        <v/>
      </c>
    </row>
    <row r="757" spans="1:28" ht="12" customHeight="1">
      <c r="A757" s="22">
        <v>765</v>
      </c>
      <c r="B757" s="30"/>
      <c r="C757" s="30"/>
      <c r="D757" s="29"/>
      <c r="E757" s="29"/>
      <c r="F757" s="29"/>
      <c r="G757" s="29"/>
      <c r="H757" s="29"/>
      <c r="I757" s="25" t="str">
        <f t="shared" si="110"/>
        <v/>
      </c>
      <c r="J757" s="29"/>
      <c r="K757" s="25" t="str">
        <f t="shared" si="111"/>
        <v/>
      </c>
      <c r="L757" s="26" t="str">
        <f t="shared" si="112"/>
        <v/>
      </c>
      <c r="M757" s="29"/>
      <c r="N757" s="29"/>
      <c r="O757" s="29"/>
      <c r="P757" s="29"/>
      <c r="Q757" s="29"/>
      <c r="R757" s="29"/>
      <c r="S757" s="29"/>
      <c r="T757" s="29"/>
      <c r="U757" s="26" t="str">
        <f t="shared" si="113"/>
        <v/>
      </c>
      <c r="V757" s="26"/>
      <c r="W757" s="26" t="str">
        <f t="shared" si="114"/>
        <v/>
      </c>
      <c r="X757" s="26" t="str">
        <f t="shared" si="115"/>
        <v/>
      </c>
      <c r="Y757" s="26" t="str">
        <f t="shared" si="116"/>
        <v/>
      </c>
      <c r="Z757" s="26" t="str">
        <f t="shared" si="117"/>
        <v/>
      </c>
      <c r="AA757" s="26" t="str">
        <f t="shared" si="118"/>
        <v/>
      </c>
      <c r="AB757" s="5" t="str">
        <f t="shared" si="119"/>
        <v/>
      </c>
    </row>
    <row r="758" spans="1:28" ht="12" customHeight="1">
      <c r="A758" s="22">
        <v>766</v>
      </c>
      <c r="B758" s="30"/>
      <c r="C758" s="30"/>
      <c r="D758" s="29"/>
      <c r="E758" s="29"/>
      <c r="F758" s="29"/>
      <c r="G758" s="29"/>
      <c r="H758" s="29"/>
      <c r="I758" s="25" t="str">
        <f t="shared" si="110"/>
        <v/>
      </c>
      <c r="J758" s="29"/>
      <c r="K758" s="25" t="str">
        <f t="shared" si="111"/>
        <v/>
      </c>
      <c r="L758" s="26" t="str">
        <f t="shared" si="112"/>
        <v/>
      </c>
      <c r="M758" s="29"/>
      <c r="N758" s="29"/>
      <c r="O758" s="29"/>
      <c r="P758" s="29"/>
      <c r="Q758" s="29"/>
      <c r="R758" s="29"/>
      <c r="S758" s="29"/>
      <c r="T758" s="29"/>
      <c r="U758" s="26" t="str">
        <f t="shared" si="113"/>
        <v/>
      </c>
      <c r="V758" s="26"/>
      <c r="W758" s="26" t="str">
        <f t="shared" si="114"/>
        <v/>
      </c>
      <c r="X758" s="26" t="str">
        <f t="shared" si="115"/>
        <v/>
      </c>
      <c r="Y758" s="26" t="str">
        <f t="shared" si="116"/>
        <v/>
      </c>
      <c r="Z758" s="26" t="str">
        <f t="shared" si="117"/>
        <v/>
      </c>
      <c r="AA758" s="26" t="str">
        <f t="shared" si="118"/>
        <v/>
      </c>
      <c r="AB758" s="5" t="str">
        <f t="shared" si="119"/>
        <v/>
      </c>
    </row>
    <row r="759" spans="1:28" ht="12" customHeight="1">
      <c r="A759" s="22">
        <v>767</v>
      </c>
      <c r="B759" s="30"/>
      <c r="C759" s="30"/>
      <c r="D759" s="29"/>
      <c r="E759" s="29"/>
      <c r="F759" s="29"/>
      <c r="G759" s="29"/>
      <c r="H759" s="29"/>
      <c r="I759" s="25" t="str">
        <f t="shared" si="110"/>
        <v/>
      </c>
      <c r="J759" s="29"/>
      <c r="K759" s="25" t="str">
        <f t="shared" si="111"/>
        <v/>
      </c>
      <c r="L759" s="26" t="str">
        <f t="shared" si="112"/>
        <v/>
      </c>
      <c r="M759" s="29"/>
      <c r="N759" s="29"/>
      <c r="O759" s="29"/>
      <c r="P759" s="29"/>
      <c r="Q759" s="29"/>
      <c r="R759" s="29"/>
      <c r="S759" s="29"/>
      <c r="T759" s="29"/>
      <c r="U759" s="26" t="str">
        <f t="shared" si="113"/>
        <v/>
      </c>
      <c r="V759" s="26"/>
      <c r="W759" s="26" t="str">
        <f t="shared" si="114"/>
        <v/>
      </c>
      <c r="X759" s="26" t="str">
        <f t="shared" si="115"/>
        <v/>
      </c>
      <c r="Y759" s="26" t="str">
        <f t="shared" si="116"/>
        <v/>
      </c>
      <c r="Z759" s="26" t="str">
        <f t="shared" si="117"/>
        <v/>
      </c>
      <c r="AA759" s="26" t="str">
        <f t="shared" si="118"/>
        <v/>
      </c>
      <c r="AB759" s="5" t="str">
        <f t="shared" si="119"/>
        <v/>
      </c>
    </row>
    <row r="760" spans="1:28" ht="12" customHeight="1">
      <c r="A760" s="22">
        <v>768</v>
      </c>
      <c r="B760" s="30"/>
      <c r="C760" s="30"/>
      <c r="D760" s="29"/>
      <c r="E760" s="29"/>
      <c r="F760" s="29"/>
      <c r="G760" s="29"/>
      <c r="H760" s="29"/>
      <c r="I760" s="25" t="str">
        <f t="shared" si="110"/>
        <v/>
      </c>
      <c r="J760" s="29"/>
      <c r="K760" s="25" t="str">
        <f t="shared" si="111"/>
        <v/>
      </c>
      <c r="L760" s="26" t="str">
        <f t="shared" si="112"/>
        <v/>
      </c>
      <c r="M760" s="29"/>
      <c r="N760" s="29"/>
      <c r="O760" s="29"/>
      <c r="P760" s="29"/>
      <c r="Q760" s="29"/>
      <c r="R760" s="29"/>
      <c r="S760" s="29"/>
      <c r="T760" s="29"/>
      <c r="U760" s="26" t="str">
        <f t="shared" si="113"/>
        <v/>
      </c>
      <c r="V760" s="26"/>
      <c r="W760" s="26" t="str">
        <f t="shared" si="114"/>
        <v/>
      </c>
      <c r="X760" s="26" t="str">
        <f t="shared" si="115"/>
        <v/>
      </c>
      <c r="Y760" s="26" t="str">
        <f t="shared" si="116"/>
        <v/>
      </c>
      <c r="Z760" s="26" t="str">
        <f t="shared" si="117"/>
        <v/>
      </c>
      <c r="AA760" s="26" t="str">
        <f t="shared" si="118"/>
        <v/>
      </c>
      <c r="AB760" s="5" t="str">
        <f t="shared" si="119"/>
        <v/>
      </c>
    </row>
    <row r="761" spans="1:28" ht="12" customHeight="1">
      <c r="A761" s="22">
        <v>769</v>
      </c>
      <c r="B761" s="30"/>
      <c r="C761" s="30"/>
      <c r="D761" s="29"/>
      <c r="E761" s="29"/>
      <c r="F761" s="29"/>
      <c r="G761" s="29"/>
      <c r="H761" s="29"/>
      <c r="I761" s="25" t="str">
        <f t="shared" si="110"/>
        <v/>
      </c>
      <c r="J761" s="29"/>
      <c r="K761" s="25" t="str">
        <f t="shared" si="111"/>
        <v/>
      </c>
      <c r="L761" s="26" t="str">
        <f t="shared" si="112"/>
        <v/>
      </c>
      <c r="M761" s="29"/>
      <c r="N761" s="29"/>
      <c r="O761" s="29"/>
      <c r="P761" s="29"/>
      <c r="Q761" s="29"/>
      <c r="R761" s="29"/>
      <c r="S761" s="29"/>
      <c r="T761" s="29"/>
      <c r="U761" s="26" t="str">
        <f t="shared" si="113"/>
        <v/>
      </c>
      <c r="V761" s="26"/>
      <c r="W761" s="26" t="str">
        <f t="shared" si="114"/>
        <v/>
      </c>
      <c r="X761" s="26" t="str">
        <f t="shared" si="115"/>
        <v/>
      </c>
      <c r="Y761" s="26" t="str">
        <f t="shared" si="116"/>
        <v/>
      </c>
      <c r="Z761" s="26" t="str">
        <f t="shared" si="117"/>
        <v/>
      </c>
      <c r="AA761" s="26" t="str">
        <f t="shared" si="118"/>
        <v/>
      </c>
      <c r="AB761" s="5" t="str">
        <f t="shared" si="119"/>
        <v/>
      </c>
    </row>
    <row r="762" spans="1:28" ht="12" customHeight="1">
      <c r="A762" s="22">
        <v>770</v>
      </c>
      <c r="B762" s="30"/>
      <c r="C762" s="30"/>
      <c r="D762" s="29"/>
      <c r="E762" s="29"/>
      <c r="F762" s="29"/>
      <c r="G762" s="29"/>
      <c r="H762" s="29"/>
      <c r="I762" s="25" t="str">
        <f t="shared" si="110"/>
        <v/>
      </c>
      <c r="J762" s="29"/>
      <c r="K762" s="25" t="str">
        <f t="shared" si="111"/>
        <v/>
      </c>
      <c r="L762" s="26" t="str">
        <f t="shared" si="112"/>
        <v/>
      </c>
      <c r="M762" s="29"/>
      <c r="N762" s="29"/>
      <c r="O762" s="29"/>
      <c r="P762" s="29"/>
      <c r="Q762" s="29"/>
      <c r="R762" s="29"/>
      <c r="S762" s="29"/>
      <c r="T762" s="29"/>
      <c r="U762" s="26" t="str">
        <f t="shared" si="113"/>
        <v/>
      </c>
      <c r="V762" s="26"/>
      <c r="W762" s="26" t="str">
        <f t="shared" si="114"/>
        <v/>
      </c>
      <c r="X762" s="26" t="str">
        <f t="shared" si="115"/>
        <v/>
      </c>
      <c r="Y762" s="26" t="str">
        <f t="shared" si="116"/>
        <v/>
      </c>
      <c r="Z762" s="26" t="str">
        <f t="shared" si="117"/>
        <v/>
      </c>
      <c r="AA762" s="26" t="str">
        <f t="shared" si="118"/>
        <v/>
      </c>
      <c r="AB762" s="5" t="str">
        <f t="shared" si="119"/>
        <v/>
      </c>
    </row>
    <row r="763" spans="1:28" ht="12" customHeight="1">
      <c r="A763" s="22">
        <v>771</v>
      </c>
      <c r="B763" s="30"/>
      <c r="C763" s="30"/>
      <c r="D763" s="29"/>
      <c r="E763" s="29"/>
      <c r="F763" s="29"/>
      <c r="G763" s="29"/>
      <c r="H763" s="29"/>
      <c r="I763" s="25" t="str">
        <f t="shared" si="110"/>
        <v/>
      </c>
      <c r="J763" s="29"/>
      <c r="K763" s="25" t="str">
        <f t="shared" si="111"/>
        <v/>
      </c>
      <c r="L763" s="26" t="str">
        <f t="shared" si="112"/>
        <v/>
      </c>
      <c r="M763" s="29"/>
      <c r="N763" s="29"/>
      <c r="O763" s="29"/>
      <c r="P763" s="29"/>
      <c r="Q763" s="29"/>
      <c r="R763" s="29"/>
      <c r="S763" s="29"/>
      <c r="T763" s="29"/>
      <c r="U763" s="26" t="str">
        <f t="shared" si="113"/>
        <v/>
      </c>
      <c r="V763" s="26"/>
      <c r="W763" s="26" t="str">
        <f t="shared" si="114"/>
        <v/>
      </c>
      <c r="X763" s="26" t="str">
        <f t="shared" si="115"/>
        <v/>
      </c>
      <c r="Y763" s="26" t="str">
        <f t="shared" si="116"/>
        <v/>
      </c>
      <c r="Z763" s="26" t="str">
        <f t="shared" si="117"/>
        <v/>
      </c>
      <c r="AA763" s="26" t="str">
        <f t="shared" si="118"/>
        <v/>
      </c>
      <c r="AB763" s="5" t="str">
        <f t="shared" si="119"/>
        <v/>
      </c>
    </row>
    <row r="764" spans="1:28" ht="12" customHeight="1">
      <c r="A764" s="22">
        <v>772</v>
      </c>
      <c r="B764" s="30"/>
      <c r="C764" s="30"/>
      <c r="D764" s="29"/>
      <c r="E764" s="29"/>
      <c r="F764" s="29"/>
      <c r="G764" s="29"/>
      <c r="H764" s="29"/>
      <c r="I764" s="25" t="str">
        <f t="shared" si="110"/>
        <v/>
      </c>
      <c r="J764" s="29"/>
      <c r="K764" s="25" t="str">
        <f t="shared" si="111"/>
        <v/>
      </c>
      <c r="L764" s="26" t="str">
        <f t="shared" si="112"/>
        <v/>
      </c>
      <c r="M764" s="29"/>
      <c r="N764" s="29"/>
      <c r="O764" s="29"/>
      <c r="P764" s="29"/>
      <c r="Q764" s="29"/>
      <c r="R764" s="29"/>
      <c r="S764" s="29"/>
      <c r="T764" s="29"/>
      <c r="U764" s="26" t="str">
        <f t="shared" si="113"/>
        <v/>
      </c>
      <c r="V764" s="26"/>
      <c r="W764" s="26" t="str">
        <f t="shared" si="114"/>
        <v/>
      </c>
      <c r="X764" s="26" t="str">
        <f t="shared" si="115"/>
        <v/>
      </c>
      <c r="Y764" s="26" t="str">
        <f t="shared" si="116"/>
        <v/>
      </c>
      <c r="Z764" s="26" t="str">
        <f t="shared" si="117"/>
        <v/>
      </c>
      <c r="AA764" s="26" t="str">
        <f t="shared" si="118"/>
        <v/>
      </c>
      <c r="AB764" s="5" t="str">
        <f t="shared" si="119"/>
        <v/>
      </c>
    </row>
    <row r="765" spans="1:28" ht="12" customHeight="1">
      <c r="A765" s="22">
        <v>773</v>
      </c>
      <c r="B765" s="30"/>
      <c r="C765" s="30"/>
      <c r="D765" s="29"/>
      <c r="E765" s="29"/>
      <c r="F765" s="29"/>
      <c r="G765" s="29"/>
      <c r="H765" s="29"/>
      <c r="I765" s="25" t="str">
        <f t="shared" si="110"/>
        <v/>
      </c>
      <c r="J765" s="29"/>
      <c r="K765" s="25" t="str">
        <f t="shared" si="111"/>
        <v/>
      </c>
      <c r="L765" s="26" t="str">
        <f t="shared" si="112"/>
        <v/>
      </c>
      <c r="M765" s="29"/>
      <c r="N765" s="29"/>
      <c r="O765" s="29"/>
      <c r="P765" s="29"/>
      <c r="Q765" s="29"/>
      <c r="R765" s="29"/>
      <c r="S765" s="29"/>
      <c r="T765" s="29"/>
      <c r="U765" s="26" t="str">
        <f t="shared" si="113"/>
        <v/>
      </c>
      <c r="V765" s="26"/>
      <c r="W765" s="26" t="str">
        <f t="shared" si="114"/>
        <v/>
      </c>
      <c r="X765" s="26" t="str">
        <f t="shared" si="115"/>
        <v/>
      </c>
      <c r="Y765" s="26" t="str">
        <f t="shared" si="116"/>
        <v/>
      </c>
      <c r="Z765" s="26" t="str">
        <f t="shared" si="117"/>
        <v/>
      </c>
      <c r="AA765" s="26" t="str">
        <f t="shared" si="118"/>
        <v/>
      </c>
      <c r="AB765" s="5" t="str">
        <f t="shared" si="119"/>
        <v/>
      </c>
    </row>
    <row r="766" spans="1:28" ht="12" customHeight="1">
      <c r="A766" s="22">
        <v>774</v>
      </c>
      <c r="B766" s="30"/>
      <c r="C766" s="30"/>
      <c r="D766" s="29"/>
      <c r="E766" s="29"/>
      <c r="F766" s="29"/>
      <c r="G766" s="29"/>
      <c r="H766" s="29"/>
      <c r="I766" s="25" t="str">
        <f t="shared" si="110"/>
        <v/>
      </c>
      <c r="J766" s="29"/>
      <c r="K766" s="25" t="str">
        <f t="shared" si="111"/>
        <v/>
      </c>
      <c r="L766" s="26" t="str">
        <f t="shared" si="112"/>
        <v/>
      </c>
      <c r="M766" s="29"/>
      <c r="N766" s="29"/>
      <c r="O766" s="29"/>
      <c r="P766" s="29"/>
      <c r="Q766" s="29"/>
      <c r="R766" s="29"/>
      <c r="S766" s="29"/>
      <c r="T766" s="29"/>
      <c r="U766" s="26" t="str">
        <f t="shared" si="113"/>
        <v/>
      </c>
      <c r="V766" s="26"/>
      <c r="W766" s="26" t="str">
        <f t="shared" si="114"/>
        <v/>
      </c>
      <c r="X766" s="26" t="str">
        <f t="shared" si="115"/>
        <v/>
      </c>
      <c r="Y766" s="26" t="str">
        <f t="shared" si="116"/>
        <v/>
      </c>
      <c r="Z766" s="26" t="str">
        <f t="shared" si="117"/>
        <v/>
      </c>
      <c r="AA766" s="26" t="str">
        <f t="shared" si="118"/>
        <v/>
      </c>
      <c r="AB766" s="5" t="str">
        <f t="shared" si="119"/>
        <v/>
      </c>
    </row>
    <row r="767" spans="1:28" ht="12" customHeight="1">
      <c r="A767" s="22">
        <v>775</v>
      </c>
      <c r="B767" s="30"/>
      <c r="C767" s="30"/>
      <c r="D767" s="29"/>
      <c r="E767" s="29"/>
      <c r="F767" s="29"/>
      <c r="G767" s="29"/>
      <c r="H767" s="29"/>
      <c r="I767" s="25" t="str">
        <f t="shared" si="110"/>
        <v/>
      </c>
      <c r="J767" s="29"/>
      <c r="K767" s="25" t="str">
        <f t="shared" si="111"/>
        <v/>
      </c>
      <c r="L767" s="26" t="str">
        <f t="shared" si="112"/>
        <v/>
      </c>
      <c r="M767" s="29"/>
      <c r="N767" s="29"/>
      <c r="O767" s="29"/>
      <c r="P767" s="29"/>
      <c r="Q767" s="29"/>
      <c r="R767" s="29"/>
      <c r="S767" s="29"/>
      <c r="T767" s="29"/>
      <c r="U767" s="26" t="str">
        <f t="shared" si="113"/>
        <v/>
      </c>
      <c r="V767" s="26"/>
      <c r="W767" s="26" t="str">
        <f t="shared" si="114"/>
        <v/>
      </c>
      <c r="X767" s="26" t="str">
        <f t="shared" si="115"/>
        <v/>
      </c>
      <c r="Y767" s="26" t="str">
        <f t="shared" si="116"/>
        <v/>
      </c>
      <c r="Z767" s="26" t="str">
        <f t="shared" si="117"/>
        <v/>
      </c>
      <c r="AA767" s="26" t="str">
        <f t="shared" si="118"/>
        <v/>
      </c>
      <c r="AB767" s="5" t="str">
        <f t="shared" si="119"/>
        <v/>
      </c>
    </row>
    <row r="768" spans="1:28" ht="12" customHeight="1">
      <c r="A768" s="22">
        <v>776</v>
      </c>
      <c r="B768" s="30"/>
      <c r="C768" s="30"/>
      <c r="D768" s="29"/>
      <c r="E768" s="29"/>
      <c r="F768" s="29"/>
      <c r="G768" s="29"/>
      <c r="H768" s="29"/>
      <c r="I768" s="25" t="str">
        <f t="shared" si="110"/>
        <v/>
      </c>
      <c r="J768" s="29"/>
      <c r="K768" s="25" t="str">
        <f t="shared" si="111"/>
        <v/>
      </c>
      <c r="L768" s="26" t="str">
        <f t="shared" si="112"/>
        <v/>
      </c>
      <c r="M768" s="29"/>
      <c r="N768" s="29"/>
      <c r="O768" s="29"/>
      <c r="P768" s="29"/>
      <c r="Q768" s="29"/>
      <c r="R768" s="29"/>
      <c r="S768" s="29"/>
      <c r="T768" s="29"/>
      <c r="U768" s="26" t="str">
        <f t="shared" si="113"/>
        <v/>
      </c>
      <c r="V768" s="26"/>
      <c r="W768" s="26" t="str">
        <f t="shared" si="114"/>
        <v/>
      </c>
      <c r="X768" s="26" t="str">
        <f t="shared" si="115"/>
        <v/>
      </c>
      <c r="Y768" s="26" t="str">
        <f t="shared" si="116"/>
        <v/>
      </c>
      <c r="Z768" s="26" t="str">
        <f t="shared" si="117"/>
        <v/>
      </c>
      <c r="AA768" s="26" t="str">
        <f t="shared" si="118"/>
        <v/>
      </c>
      <c r="AB768" s="5" t="str">
        <f t="shared" si="119"/>
        <v/>
      </c>
    </row>
    <row r="769" spans="1:28" ht="12" customHeight="1">
      <c r="A769" s="22">
        <v>777</v>
      </c>
      <c r="B769" s="30"/>
      <c r="C769" s="30"/>
      <c r="D769" s="29"/>
      <c r="E769" s="29"/>
      <c r="F769" s="29"/>
      <c r="G769" s="29"/>
      <c r="H769" s="29"/>
      <c r="I769" s="25" t="str">
        <f t="shared" si="110"/>
        <v/>
      </c>
      <c r="J769" s="29"/>
      <c r="K769" s="25" t="str">
        <f t="shared" si="111"/>
        <v/>
      </c>
      <c r="L769" s="26" t="str">
        <f t="shared" si="112"/>
        <v/>
      </c>
      <c r="M769" s="29"/>
      <c r="N769" s="29"/>
      <c r="O769" s="29"/>
      <c r="P769" s="29"/>
      <c r="Q769" s="29"/>
      <c r="R769" s="29"/>
      <c r="S769" s="29"/>
      <c r="T769" s="29"/>
      <c r="U769" s="26" t="str">
        <f t="shared" si="113"/>
        <v/>
      </c>
      <c r="V769" s="26"/>
      <c r="W769" s="26" t="str">
        <f t="shared" si="114"/>
        <v/>
      </c>
      <c r="X769" s="26" t="str">
        <f t="shared" si="115"/>
        <v/>
      </c>
      <c r="Y769" s="26" t="str">
        <f t="shared" si="116"/>
        <v/>
      </c>
      <c r="Z769" s="26" t="str">
        <f t="shared" si="117"/>
        <v/>
      </c>
      <c r="AA769" s="26" t="str">
        <f t="shared" si="118"/>
        <v/>
      </c>
      <c r="AB769" s="5" t="str">
        <f t="shared" si="119"/>
        <v/>
      </c>
    </row>
    <row r="770" spans="1:28" ht="12" customHeight="1">
      <c r="A770" s="22">
        <v>778</v>
      </c>
      <c r="B770" s="30"/>
      <c r="C770" s="30"/>
      <c r="D770" s="29"/>
      <c r="E770" s="29"/>
      <c r="F770" s="29"/>
      <c r="G770" s="29"/>
      <c r="H770" s="29"/>
      <c r="I770" s="25" t="str">
        <f t="shared" si="110"/>
        <v/>
      </c>
      <c r="J770" s="29"/>
      <c r="K770" s="25" t="str">
        <f t="shared" si="111"/>
        <v/>
      </c>
      <c r="L770" s="26" t="str">
        <f t="shared" si="112"/>
        <v/>
      </c>
      <c r="M770" s="29"/>
      <c r="N770" s="29"/>
      <c r="O770" s="29"/>
      <c r="P770" s="29"/>
      <c r="Q770" s="29"/>
      <c r="R770" s="29"/>
      <c r="S770" s="29"/>
      <c r="T770" s="29"/>
      <c r="U770" s="26" t="str">
        <f t="shared" si="113"/>
        <v/>
      </c>
      <c r="V770" s="26"/>
      <c r="W770" s="26" t="str">
        <f t="shared" si="114"/>
        <v/>
      </c>
      <c r="X770" s="26" t="str">
        <f t="shared" si="115"/>
        <v/>
      </c>
      <c r="Y770" s="26" t="str">
        <f t="shared" si="116"/>
        <v/>
      </c>
      <c r="Z770" s="26" t="str">
        <f t="shared" si="117"/>
        <v/>
      </c>
      <c r="AA770" s="26" t="str">
        <f t="shared" si="118"/>
        <v/>
      </c>
      <c r="AB770" s="5" t="str">
        <f t="shared" si="119"/>
        <v/>
      </c>
    </row>
    <row r="771" spans="1:28" ht="12" customHeight="1">
      <c r="A771" s="22">
        <v>779</v>
      </c>
      <c r="B771" s="30"/>
      <c r="C771" s="30"/>
      <c r="D771" s="29"/>
      <c r="E771" s="29"/>
      <c r="F771" s="29"/>
      <c r="G771" s="29"/>
      <c r="H771" s="29"/>
      <c r="I771" s="25" t="str">
        <f t="shared" si="110"/>
        <v/>
      </c>
      <c r="J771" s="29"/>
      <c r="K771" s="25" t="str">
        <f t="shared" si="111"/>
        <v/>
      </c>
      <c r="L771" s="26" t="str">
        <f t="shared" si="112"/>
        <v/>
      </c>
      <c r="M771" s="29"/>
      <c r="N771" s="29"/>
      <c r="O771" s="29"/>
      <c r="P771" s="29"/>
      <c r="Q771" s="29"/>
      <c r="R771" s="29"/>
      <c r="S771" s="29"/>
      <c r="T771" s="29"/>
      <c r="U771" s="26" t="str">
        <f t="shared" si="113"/>
        <v/>
      </c>
      <c r="V771" s="26"/>
      <c r="W771" s="26" t="str">
        <f t="shared" si="114"/>
        <v/>
      </c>
      <c r="X771" s="26" t="str">
        <f t="shared" si="115"/>
        <v/>
      </c>
      <c r="Y771" s="26" t="str">
        <f t="shared" si="116"/>
        <v/>
      </c>
      <c r="Z771" s="26" t="str">
        <f t="shared" si="117"/>
        <v/>
      </c>
      <c r="AA771" s="26" t="str">
        <f t="shared" si="118"/>
        <v/>
      </c>
      <c r="AB771" s="5" t="str">
        <f t="shared" si="119"/>
        <v/>
      </c>
    </row>
    <row r="772" spans="1:28" ht="12" customHeight="1">
      <c r="A772" s="22">
        <v>780</v>
      </c>
      <c r="B772" s="30"/>
      <c r="C772" s="30"/>
      <c r="D772" s="29"/>
      <c r="E772" s="29"/>
      <c r="F772" s="29"/>
      <c r="G772" s="29"/>
      <c r="H772" s="29"/>
      <c r="I772" s="25" t="str">
        <f t="shared" si="110"/>
        <v/>
      </c>
      <c r="J772" s="29"/>
      <c r="K772" s="25" t="str">
        <f t="shared" si="111"/>
        <v/>
      </c>
      <c r="L772" s="26" t="str">
        <f t="shared" si="112"/>
        <v/>
      </c>
      <c r="M772" s="29"/>
      <c r="N772" s="29"/>
      <c r="O772" s="29"/>
      <c r="P772" s="29"/>
      <c r="Q772" s="29"/>
      <c r="R772" s="29"/>
      <c r="S772" s="29"/>
      <c r="T772" s="29"/>
      <c r="U772" s="26" t="str">
        <f t="shared" si="113"/>
        <v/>
      </c>
      <c r="V772" s="26"/>
      <c r="W772" s="26" t="str">
        <f t="shared" si="114"/>
        <v/>
      </c>
      <c r="X772" s="26" t="str">
        <f t="shared" si="115"/>
        <v/>
      </c>
      <c r="Y772" s="26" t="str">
        <f t="shared" si="116"/>
        <v/>
      </c>
      <c r="Z772" s="26" t="str">
        <f t="shared" si="117"/>
        <v/>
      </c>
      <c r="AA772" s="26" t="str">
        <f t="shared" si="118"/>
        <v/>
      </c>
      <c r="AB772" s="5" t="str">
        <f t="shared" si="119"/>
        <v/>
      </c>
    </row>
    <row r="773" spans="1:28" ht="12" customHeight="1">
      <c r="A773" s="22">
        <v>781</v>
      </c>
      <c r="B773" s="30"/>
      <c r="C773" s="30"/>
      <c r="D773" s="29"/>
      <c r="E773" s="29"/>
      <c r="F773" s="29"/>
      <c r="G773" s="29"/>
      <c r="H773" s="29"/>
      <c r="I773" s="25" t="str">
        <f t="shared" si="110"/>
        <v/>
      </c>
      <c r="J773" s="29"/>
      <c r="K773" s="25" t="str">
        <f t="shared" si="111"/>
        <v/>
      </c>
      <c r="L773" s="26" t="str">
        <f t="shared" si="112"/>
        <v/>
      </c>
      <c r="M773" s="29"/>
      <c r="N773" s="29"/>
      <c r="O773" s="29"/>
      <c r="P773" s="29"/>
      <c r="Q773" s="29"/>
      <c r="R773" s="29"/>
      <c r="S773" s="29"/>
      <c r="T773" s="29"/>
      <c r="U773" s="26" t="str">
        <f t="shared" si="113"/>
        <v/>
      </c>
      <c r="V773" s="26"/>
      <c r="W773" s="26" t="str">
        <f t="shared" si="114"/>
        <v/>
      </c>
      <c r="X773" s="26" t="str">
        <f t="shared" si="115"/>
        <v/>
      </c>
      <c r="Y773" s="26" t="str">
        <f t="shared" si="116"/>
        <v/>
      </c>
      <c r="Z773" s="26" t="str">
        <f t="shared" si="117"/>
        <v/>
      </c>
      <c r="AA773" s="26" t="str">
        <f t="shared" si="118"/>
        <v/>
      </c>
      <c r="AB773" s="5" t="str">
        <f t="shared" si="119"/>
        <v/>
      </c>
    </row>
    <row r="774" spans="1:28" ht="12" customHeight="1">
      <c r="A774" s="22">
        <v>782</v>
      </c>
      <c r="B774" s="30"/>
      <c r="C774" s="30"/>
      <c r="D774" s="29"/>
      <c r="E774" s="29"/>
      <c r="F774" s="29"/>
      <c r="G774" s="29"/>
      <c r="H774" s="29"/>
      <c r="I774" s="25" t="str">
        <f t="shared" ref="I774:I792" si="120">IFERROR(IF(H774="Unlikely",1,IF(H774="Possible",2,IF(H774="Likely",3,IF(H774="Almost Certain",4,IF(H774="Certain",5,""))))),"")</f>
        <v/>
      </c>
      <c r="J774" s="29"/>
      <c r="K774" s="25" t="str">
        <f t="shared" ref="K774:K792" si="121">IFERROR(IF(J774="Negligible",1,IF(J774="Minor",2,IF(J774="Moderate",3,IF(J774="Major",4,IF(J774="Critical",5,""))))),"")</f>
        <v/>
      </c>
      <c r="L774" s="26" t="str">
        <f t="shared" ref="L774:L792" si="122">IF(OR(I774="",K774=""),"",I774*K774)</f>
        <v/>
      </c>
      <c r="M774" s="29"/>
      <c r="N774" s="29"/>
      <c r="O774" s="29"/>
      <c r="P774" s="29"/>
      <c r="Q774" s="29"/>
      <c r="R774" s="29"/>
      <c r="S774" s="29"/>
      <c r="T774" s="29"/>
      <c r="U774" s="26" t="str">
        <f t="shared" ref="U774:U792" si="123">IF(L774="","",IF(L774&lt;=4,"Low",IF(L774&lt;=9,"Medium",IF(L774&lt;=15,"High","Critical"))))</f>
        <v/>
      </c>
      <c r="V774" s="26"/>
      <c r="W774" s="26" t="str">
        <f t="shared" ref="W774:W792" si="124">IF(I774="","",MAX(1,I774-(IF(V774="Limited",1,IF(V774="Partial",2,IF(V774="Substantial",3,IF(V774="Highly Effective",4,0)))))))</f>
        <v/>
      </c>
      <c r="X774" s="26" t="str">
        <f t="shared" ref="X774:X792" si="125">IF(K774="","",MAX(1,K774-ROUNDDOWN((IF(V774="Limited",1,IF(V774="Partial",2,IF(V774="Substantial",3,IF(V774="Highly Effective",4,0)))))/2,0)))</f>
        <v/>
      </c>
      <c r="Y774" s="26" t="str">
        <f t="shared" ref="Y774:Y792" si="126">IF(OR(W774="",X774=""),"",W774*X774)</f>
        <v/>
      </c>
      <c r="Z774" s="26" t="str">
        <f t="shared" ref="Z774:Z792" si="127">IF(Y774="","",IF(Y774&lt;=4,"Low",IF(Y774&lt;=9,"Medium",IF(Y774&lt;=15,"High","Critical"))))</f>
        <v/>
      </c>
      <c r="AA774" s="26" t="str">
        <f t="shared" ref="AA774:AA792" si="128">IF(OR(L774="",Y774=""),"",IF(Y774&lt;L774,"Reduced by "&amp;(L774-Y774)&amp;" pts",IF(Y774=L774,"No Change","Increased by "&amp;(Y774-L774)&amp;" pts")))</f>
        <v/>
      </c>
      <c r="AB774" s="5" t="str">
        <f t="shared" ref="AB774:AB792" si="129">IF(Y774="","",Y774+(ROW()/10000000))</f>
        <v/>
      </c>
    </row>
    <row r="775" spans="1:28" ht="12" customHeight="1">
      <c r="A775" s="22">
        <v>783</v>
      </c>
      <c r="B775" s="30"/>
      <c r="C775" s="30"/>
      <c r="D775" s="29"/>
      <c r="E775" s="29"/>
      <c r="F775" s="29"/>
      <c r="G775" s="29"/>
      <c r="H775" s="29"/>
      <c r="I775" s="25" t="str">
        <f t="shared" si="120"/>
        <v/>
      </c>
      <c r="J775" s="29"/>
      <c r="K775" s="25" t="str">
        <f t="shared" si="121"/>
        <v/>
      </c>
      <c r="L775" s="26" t="str">
        <f t="shared" si="122"/>
        <v/>
      </c>
      <c r="M775" s="29"/>
      <c r="N775" s="29"/>
      <c r="O775" s="29"/>
      <c r="P775" s="29"/>
      <c r="Q775" s="29"/>
      <c r="R775" s="29"/>
      <c r="S775" s="29"/>
      <c r="T775" s="29"/>
      <c r="U775" s="26" t="str">
        <f t="shared" si="123"/>
        <v/>
      </c>
      <c r="V775" s="26"/>
      <c r="W775" s="26" t="str">
        <f t="shared" si="124"/>
        <v/>
      </c>
      <c r="X775" s="26" t="str">
        <f t="shared" si="125"/>
        <v/>
      </c>
      <c r="Y775" s="26" t="str">
        <f t="shared" si="126"/>
        <v/>
      </c>
      <c r="Z775" s="26" t="str">
        <f t="shared" si="127"/>
        <v/>
      </c>
      <c r="AA775" s="26" t="str">
        <f t="shared" si="128"/>
        <v/>
      </c>
      <c r="AB775" s="5" t="str">
        <f t="shared" si="129"/>
        <v/>
      </c>
    </row>
    <row r="776" spans="1:28" ht="12" customHeight="1">
      <c r="A776" s="22">
        <v>784</v>
      </c>
      <c r="B776" s="30"/>
      <c r="C776" s="30"/>
      <c r="D776" s="29"/>
      <c r="E776" s="29"/>
      <c r="F776" s="29"/>
      <c r="G776" s="29"/>
      <c r="H776" s="29"/>
      <c r="I776" s="25" t="str">
        <f t="shared" si="120"/>
        <v/>
      </c>
      <c r="J776" s="29"/>
      <c r="K776" s="25" t="str">
        <f t="shared" si="121"/>
        <v/>
      </c>
      <c r="L776" s="26" t="str">
        <f t="shared" si="122"/>
        <v/>
      </c>
      <c r="M776" s="29"/>
      <c r="N776" s="29"/>
      <c r="O776" s="29"/>
      <c r="P776" s="29"/>
      <c r="Q776" s="29"/>
      <c r="R776" s="29"/>
      <c r="S776" s="29"/>
      <c r="T776" s="29"/>
      <c r="U776" s="26" t="str">
        <f t="shared" si="123"/>
        <v/>
      </c>
      <c r="V776" s="26"/>
      <c r="W776" s="26" t="str">
        <f t="shared" si="124"/>
        <v/>
      </c>
      <c r="X776" s="26" t="str">
        <f t="shared" si="125"/>
        <v/>
      </c>
      <c r="Y776" s="26" t="str">
        <f t="shared" si="126"/>
        <v/>
      </c>
      <c r="Z776" s="26" t="str">
        <f t="shared" si="127"/>
        <v/>
      </c>
      <c r="AA776" s="26" t="str">
        <f t="shared" si="128"/>
        <v/>
      </c>
      <c r="AB776" s="5" t="str">
        <f t="shared" si="129"/>
        <v/>
      </c>
    </row>
    <row r="777" spans="1:28" ht="12" customHeight="1">
      <c r="A777" s="22">
        <v>785</v>
      </c>
      <c r="B777" s="30"/>
      <c r="C777" s="30"/>
      <c r="D777" s="29"/>
      <c r="E777" s="29"/>
      <c r="F777" s="29"/>
      <c r="G777" s="29"/>
      <c r="H777" s="29"/>
      <c r="I777" s="25" t="str">
        <f t="shared" si="120"/>
        <v/>
      </c>
      <c r="J777" s="29"/>
      <c r="K777" s="25" t="str">
        <f t="shared" si="121"/>
        <v/>
      </c>
      <c r="L777" s="26" t="str">
        <f t="shared" si="122"/>
        <v/>
      </c>
      <c r="M777" s="29"/>
      <c r="N777" s="29"/>
      <c r="O777" s="29"/>
      <c r="P777" s="29"/>
      <c r="Q777" s="29"/>
      <c r="R777" s="29"/>
      <c r="S777" s="29"/>
      <c r="T777" s="29"/>
      <c r="U777" s="26" t="str">
        <f t="shared" si="123"/>
        <v/>
      </c>
      <c r="V777" s="26"/>
      <c r="W777" s="26" t="str">
        <f t="shared" si="124"/>
        <v/>
      </c>
      <c r="X777" s="26" t="str">
        <f t="shared" si="125"/>
        <v/>
      </c>
      <c r="Y777" s="26" t="str">
        <f t="shared" si="126"/>
        <v/>
      </c>
      <c r="Z777" s="26" t="str">
        <f t="shared" si="127"/>
        <v/>
      </c>
      <c r="AA777" s="26" t="str">
        <f t="shared" si="128"/>
        <v/>
      </c>
      <c r="AB777" s="5" t="str">
        <f t="shared" si="129"/>
        <v/>
      </c>
    </row>
    <row r="778" spans="1:28" ht="12" customHeight="1">
      <c r="A778" s="22">
        <v>786</v>
      </c>
      <c r="B778" s="30"/>
      <c r="C778" s="30"/>
      <c r="D778" s="29"/>
      <c r="E778" s="29"/>
      <c r="F778" s="29"/>
      <c r="G778" s="29"/>
      <c r="H778" s="29"/>
      <c r="I778" s="25" t="str">
        <f t="shared" si="120"/>
        <v/>
      </c>
      <c r="J778" s="29"/>
      <c r="K778" s="25" t="str">
        <f t="shared" si="121"/>
        <v/>
      </c>
      <c r="L778" s="26" t="str">
        <f t="shared" si="122"/>
        <v/>
      </c>
      <c r="M778" s="29"/>
      <c r="N778" s="29"/>
      <c r="O778" s="29"/>
      <c r="P778" s="29"/>
      <c r="Q778" s="29"/>
      <c r="R778" s="29"/>
      <c r="S778" s="29"/>
      <c r="T778" s="29"/>
      <c r="U778" s="26" t="str">
        <f t="shared" si="123"/>
        <v/>
      </c>
      <c r="V778" s="26"/>
      <c r="W778" s="26" t="str">
        <f t="shared" si="124"/>
        <v/>
      </c>
      <c r="X778" s="26" t="str">
        <f t="shared" si="125"/>
        <v/>
      </c>
      <c r="Y778" s="26" t="str">
        <f t="shared" si="126"/>
        <v/>
      </c>
      <c r="Z778" s="26" t="str">
        <f t="shared" si="127"/>
        <v/>
      </c>
      <c r="AA778" s="26" t="str">
        <f t="shared" si="128"/>
        <v/>
      </c>
      <c r="AB778" s="5" t="str">
        <f t="shared" si="129"/>
        <v/>
      </c>
    </row>
    <row r="779" spans="1:28" ht="12" customHeight="1">
      <c r="A779" s="22">
        <v>787</v>
      </c>
      <c r="B779" s="30"/>
      <c r="C779" s="30"/>
      <c r="D779" s="29"/>
      <c r="E779" s="29"/>
      <c r="F779" s="29"/>
      <c r="G779" s="29"/>
      <c r="H779" s="29"/>
      <c r="I779" s="25" t="str">
        <f t="shared" si="120"/>
        <v/>
      </c>
      <c r="J779" s="29"/>
      <c r="K779" s="25" t="str">
        <f t="shared" si="121"/>
        <v/>
      </c>
      <c r="L779" s="26" t="str">
        <f t="shared" si="122"/>
        <v/>
      </c>
      <c r="M779" s="29"/>
      <c r="N779" s="29"/>
      <c r="O779" s="29"/>
      <c r="P779" s="29"/>
      <c r="Q779" s="29"/>
      <c r="R779" s="29"/>
      <c r="S779" s="29"/>
      <c r="T779" s="29"/>
      <c r="U779" s="26" t="str">
        <f t="shared" si="123"/>
        <v/>
      </c>
      <c r="V779" s="26"/>
      <c r="W779" s="26" t="str">
        <f t="shared" si="124"/>
        <v/>
      </c>
      <c r="X779" s="26" t="str">
        <f t="shared" si="125"/>
        <v/>
      </c>
      <c r="Y779" s="26" t="str">
        <f t="shared" si="126"/>
        <v/>
      </c>
      <c r="Z779" s="26" t="str">
        <f t="shared" si="127"/>
        <v/>
      </c>
      <c r="AA779" s="26" t="str">
        <f t="shared" si="128"/>
        <v/>
      </c>
      <c r="AB779" s="5" t="str">
        <f t="shared" si="129"/>
        <v/>
      </c>
    </row>
    <row r="780" spans="1:28" ht="12" customHeight="1">
      <c r="A780" s="22">
        <v>788</v>
      </c>
      <c r="B780" s="30"/>
      <c r="C780" s="30"/>
      <c r="D780" s="29"/>
      <c r="E780" s="29"/>
      <c r="F780" s="29"/>
      <c r="G780" s="29"/>
      <c r="H780" s="29"/>
      <c r="I780" s="25" t="str">
        <f t="shared" si="120"/>
        <v/>
      </c>
      <c r="J780" s="29"/>
      <c r="K780" s="25" t="str">
        <f t="shared" si="121"/>
        <v/>
      </c>
      <c r="L780" s="26" t="str">
        <f t="shared" si="122"/>
        <v/>
      </c>
      <c r="M780" s="29"/>
      <c r="N780" s="29"/>
      <c r="O780" s="29"/>
      <c r="P780" s="29"/>
      <c r="Q780" s="29"/>
      <c r="R780" s="29"/>
      <c r="S780" s="29"/>
      <c r="T780" s="29"/>
      <c r="U780" s="26" t="str">
        <f t="shared" si="123"/>
        <v/>
      </c>
      <c r="V780" s="26"/>
      <c r="W780" s="26" t="str">
        <f t="shared" si="124"/>
        <v/>
      </c>
      <c r="X780" s="26" t="str">
        <f t="shared" si="125"/>
        <v/>
      </c>
      <c r="Y780" s="26" t="str">
        <f t="shared" si="126"/>
        <v/>
      </c>
      <c r="Z780" s="26" t="str">
        <f t="shared" si="127"/>
        <v/>
      </c>
      <c r="AA780" s="26" t="str">
        <f t="shared" si="128"/>
        <v/>
      </c>
      <c r="AB780" s="5" t="str">
        <f t="shared" si="129"/>
        <v/>
      </c>
    </row>
    <row r="781" spans="1:28" ht="12" customHeight="1">
      <c r="A781" s="22">
        <v>789</v>
      </c>
      <c r="B781" s="30"/>
      <c r="C781" s="30"/>
      <c r="D781" s="29"/>
      <c r="E781" s="29"/>
      <c r="F781" s="29"/>
      <c r="G781" s="29"/>
      <c r="H781" s="29"/>
      <c r="I781" s="25" t="str">
        <f t="shared" si="120"/>
        <v/>
      </c>
      <c r="J781" s="29"/>
      <c r="K781" s="25" t="str">
        <f t="shared" si="121"/>
        <v/>
      </c>
      <c r="L781" s="26" t="str">
        <f t="shared" si="122"/>
        <v/>
      </c>
      <c r="M781" s="29"/>
      <c r="N781" s="29"/>
      <c r="O781" s="29"/>
      <c r="P781" s="29"/>
      <c r="Q781" s="29"/>
      <c r="R781" s="29"/>
      <c r="S781" s="29"/>
      <c r="T781" s="29"/>
      <c r="U781" s="26" t="str">
        <f t="shared" si="123"/>
        <v/>
      </c>
      <c r="V781" s="26"/>
      <c r="W781" s="26" t="str">
        <f t="shared" si="124"/>
        <v/>
      </c>
      <c r="X781" s="26" t="str">
        <f t="shared" si="125"/>
        <v/>
      </c>
      <c r="Y781" s="26" t="str">
        <f t="shared" si="126"/>
        <v/>
      </c>
      <c r="Z781" s="26" t="str">
        <f t="shared" si="127"/>
        <v/>
      </c>
      <c r="AA781" s="26" t="str">
        <f t="shared" si="128"/>
        <v/>
      </c>
      <c r="AB781" s="5" t="str">
        <f t="shared" si="129"/>
        <v/>
      </c>
    </row>
    <row r="782" spans="1:28" ht="12" customHeight="1">
      <c r="A782" s="22">
        <v>790</v>
      </c>
      <c r="B782" s="30"/>
      <c r="C782" s="30"/>
      <c r="D782" s="29"/>
      <c r="E782" s="29"/>
      <c r="F782" s="29"/>
      <c r="G782" s="29"/>
      <c r="H782" s="29"/>
      <c r="I782" s="25" t="str">
        <f t="shared" si="120"/>
        <v/>
      </c>
      <c r="J782" s="29"/>
      <c r="K782" s="25" t="str">
        <f t="shared" si="121"/>
        <v/>
      </c>
      <c r="L782" s="26" t="str">
        <f t="shared" si="122"/>
        <v/>
      </c>
      <c r="M782" s="29"/>
      <c r="N782" s="29"/>
      <c r="O782" s="29"/>
      <c r="P782" s="29"/>
      <c r="Q782" s="29"/>
      <c r="R782" s="29"/>
      <c r="S782" s="29"/>
      <c r="T782" s="29"/>
      <c r="U782" s="26" t="str">
        <f t="shared" si="123"/>
        <v/>
      </c>
      <c r="V782" s="26"/>
      <c r="W782" s="26" t="str">
        <f t="shared" si="124"/>
        <v/>
      </c>
      <c r="X782" s="26" t="str">
        <f t="shared" si="125"/>
        <v/>
      </c>
      <c r="Y782" s="26" t="str">
        <f t="shared" si="126"/>
        <v/>
      </c>
      <c r="Z782" s="26" t="str">
        <f t="shared" si="127"/>
        <v/>
      </c>
      <c r="AA782" s="26" t="str">
        <f t="shared" si="128"/>
        <v/>
      </c>
      <c r="AB782" s="5" t="str">
        <f t="shared" si="129"/>
        <v/>
      </c>
    </row>
    <row r="783" spans="1:28" ht="12" customHeight="1">
      <c r="A783" s="22">
        <v>791</v>
      </c>
      <c r="B783" s="30"/>
      <c r="C783" s="30"/>
      <c r="D783" s="29"/>
      <c r="E783" s="29"/>
      <c r="F783" s="29"/>
      <c r="G783" s="29"/>
      <c r="H783" s="29"/>
      <c r="I783" s="25" t="str">
        <f t="shared" si="120"/>
        <v/>
      </c>
      <c r="J783" s="29"/>
      <c r="K783" s="25" t="str">
        <f t="shared" si="121"/>
        <v/>
      </c>
      <c r="L783" s="26" t="str">
        <f t="shared" si="122"/>
        <v/>
      </c>
      <c r="M783" s="29"/>
      <c r="N783" s="29"/>
      <c r="O783" s="29"/>
      <c r="P783" s="29"/>
      <c r="Q783" s="29"/>
      <c r="R783" s="29"/>
      <c r="S783" s="29"/>
      <c r="T783" s="29"/>
      <c r="U783" s="26" t="str">
        <f t="shared" si="123"/>
        <v/>
      </c>
      <c r="V783" s="26"/>
      <c r="W783" s="26" t="str">
        <f t="shared" si="124"/>
        <v/>
      </c>
      <c r="X783" s="26" t="str">
        <f t="shared" si="125"/>
        <v/>
      </c>
      <c r="Y783" s="26" t="str">
        <f t="shared" si="126"/>
        <v/>
      </c>
      <c r="Z783" s="26" t="str">
        <f t="shared" si="127"/>
        <v/>
      </c>
      <c r="AA783" s="26" t="str">
        <f t="shared" si="128"/>
        <v/>
      </c>
      <c r="AB783" s="5" t="str">
        <f t="shared" si="129"/>
        <v/>
      </c>
    </row>
    <row r="784" spans="1:28" ht="12" customHeight="1">
      <c r="A784" s="22">
        <v>792</v>
      </c>
      <c r="B784" s="30"/>
      <c r="C784" s="30"/>
      <c r="D784" s="29"/>
      <c r="E784" s="29"/>
      <c r="F784" s="29"/>
      <c r="G784" s="29"/>
      <c r="H784" s="29"/>
      <c r="I784" s="25" t="str">
        <f t="shared" si="120"/>
        <v/>
      </c>
      <c r="J784" s="29"/>
      <c r="K784" s="25" t="str">
        <f t="shared" si="121"/>
        <v/>
      </c>
      <c r="L784" s="26" t="str">
        <f t="shared" si="122"/>
        <v/>
      </c>
      <c r="M784" s="29"/>
      <c r="N784" s="29"/>
      <c r="O784" s="29"/>
      <c r="P784" s="29"/>
      <c r="Q784" s="29"/>
      <c r="R784" s="29"/>
      <c r="S784" s="29"/>
      <c r="T784" s="29"/>
      <c r="U784" s="26" t="str">
        <f t="shared" si="123"/>
        <v/>
      </c>
      <c r="V784" s="26"/>
      <c r="W784" s="26" t="str">
        <f t="shared" si="124"/>
        <v/>
      </c>
      <c r="X784" s="26" t="str">
        <f t="shared" si="125"/>
        <v/>
      </c>
      <c r="Y784" s="26" t="str">
        <f t="shared" si="126"/>
        <v/>
      </c>
      <c r="Z784" s="26" t="str">
        <f t="shared" si="127"/>
        <v/>
      </c>
      <c r="AA784" s="26" t="str">
        <f t="shared" si="128"/>
        <v/>
      </c>
      <c r="AB784" s="5" t="str">
        <f t="shared" si="129"/>
        <v/>
      </c>
    </row>
    <row r="785" spans="1:28" ht="12" customHeight="1">
      <c r="A785" s="22">
        <v>793</v>
      </c>
      <c r="B785" s="30"/>
      <c r="C785" s="30"/>
      <c r="D785" s="29"/>
      <c r="E785" s="29"/>
      <c r="F785" s="29"/>
      <c r="G785" s="29"/>
      <c r="H785" s="29"/>
      <c r="I785" s="25" t="str">
        <f t="shared" si="120"/>
        <v/>
      </c>
      <c r="J785" s="29"/>
      <c r="K785" s="25" t="str">
        <f t="shared" si="121"/>
        <v/>
      </c>
      <c r="L785" s="26" t="str">
        <f t="shared" si="122"/>
        <v/>
      </c>
      <c r="M785" s="29"/>
      <c r="N785" s="29"/>
      <c r="O785" s="29"/>
      <c r="P785" s="29"/>
      <c r="Q785" s="29"/>
      <c r="R785" s="29"/>
      <c r="S785" s="29"/>
      <c r="T785" s="29"/>
      <c r="U785" s="26" t="str">
        <f t="shared" si="123"/>
        <v/>
      </c>
      <c r="V785" s="26"/>
      <c r="W785" s="26" t="str">
        <f t="shared" si="124"/>
        <v/>
      </c>
      <c r="X785" s="26" t="str">
        <f t="shared" si="125"/>
        <v/>
      </c>
      <c r="Y785" s="26" t="str">
        <f t="shared" si="126"/>
        <v/>
      </c>
      <c r="Z785" s="26" t="str">
        <f t="shared" si="127"/>
        <v/>
      </c>
      <c r="AA785" s="26" t="str">
        <f t="shared" si="128"/>
        <v/>
      </c>
      <c r="AB785" s="5" t="str">
        <f t="shared" si="129"/>
        <v/>
      </c>
    </row>
    <row r="786" spans="1:28" ht="12" customHeight="1">
      <c r="A786" s="22">
        <v>794</v>
      </c>
      <c r="B786" s="30"/>
      <c r="C786" s="30"/>
      <c r="D786" s="29"/>
      <c r="E786" s="29"/>
      <c r="F786" s="29"/>
      <c r="G786" s="29"/>
      <c r="H786" s="29"/>
      <c r="I786" s="25" t="str">
        <f t="shared" si="120"/>
        <v/>
      </c>
      <c r="J786" s="29"/>
      <c r="K786" s="25" t="str">
        <f t="shared" si="121"/>
        <v/>
      </c>
      <c r="L786" s="26" t="str">
        <f t="shared" si="122"/>
        <v/>
      </c>
      <c r="M786" s="29"/>
      <c r="N786" s="29"/>
      <c r="O786" s="29"/>
      <c r="P786" s="29"/>
      <c r="Q786" s="29"/>
      <c r="R786" s="29"/>
      <c r="S786" s="29"/>
      <c r="T786" s="29"/>
      <c r="U786" s="26" t="str">
        <f t="shared" si="123"/>
        <v/>
      </c>
      <c r="V786" s="26"/>
      <c r="W786" s="26" t="str">
        <f t="shared" si="124"/>
        <v/>
      </c>
      <c r="X786" s="26" t="str">
        <f t="shared" si="125"/>
        <v/>
      </c>
      <c r="Y786" s="26" t="str">
        <f t="shared" si="126"/>
        <v/>
      </c>
      <c r="Z786" s="26" t="str">
        <f t="shared" si="127"/>
        <v/>
      </c>
      <c r="AA786" s="26" t="str">
        <f t="shared" si="128"/>
        <v/>
      </c>
      <c r="AB786" s="5" t="str">
        <f t="shared" si="129"/>
        <v/>
      </c>
    </row>
    <row r="787" spans="1:28" ht="12" customHeight="1">
      <c r="A787" s="22">
        <v>795</v>
      </c>
      <c r="B787" s="30"/>
      <c r="C787" s="30"/>
      <c r="D787" s="29"/>
      <c r="E787" s="29"/>
      <c r="F787" s="29"/>
      <c r="G787" s="29"/>
      <c r="H787" s="29"/>
      <c r="I787" s="25" t="str">
        <f t="shared" si="120"/>
        <v/>
      </c>
      <c r="J787" s="29"/>
      <c r="K787" s="25" t="str">
        <f t="shared" si="121"/>
        <v/>
      </c>
      <c r="L787" s="26" t="str">
        <f t="shared" si="122"/>
        <v/>
      </c>
      <c r="M787" s="29"/>
      <c r="N787" s="29"/>
      <c r="O787" s="29"/>
      <c r="P787" s="29"/>
      <c r="Q787" s="29"/>
      <c r="R787" s="29"/>
      <c r="S787" s="29"/>
      <c r="T787" s="29"/>
      <c r="U787" s="26" t="str">
        <f t="shared" si="123"/>
        <v/>
      </c>
      <c r="V787" s="26"/>
      <c r="W787" s="26" t="str">
        <f t="shared" si="124"/>
        <v/>
      </c>
      <c r="X787" s="26" t="str">
        <f t="shared" si="125"/>
        <v/>
      </c>
      <c r="Y787" s="26" t="str">
        <f t="shared" si="126"/>
        <v/>
      </c>
      <c r="Z787" s="26" t="str">
        <f t="shared" si="127"/>
        <v/>
      </c>
      <c r="AA787" s="26" t="str">
        <f t="shared" si="128"/>
        <v/>
      </c>
      <c r="AB787" s="5" t="str">
        <f t="shared" si="129"/>
        <v/>
      </c>
    </row>
    <row r="788" spans="1:28" ht="12" customHeight="1">
      <c r="A788" s="22">
        <v>796</v>
      </c>
      <c r="B788" s="30"/>
      <c r="C788" s="30"/>
      <c r="D788" s="29"/>
      <c r="E788" s="29"/>
      <c r="F788" s="29"/>
      <c r="G788" s="29"/>
      <c r="H788" s="29"/>
      <c r="I788" s="25" t="str">
        <f t="shared" si="120"/>
        <v/>
      </c>
      <c r="J788" s="29"/>
      <c r="K788" s="25" t="str">
        <f t="shared" si="121"/>
        <v/>
      </c>
      <c r="L788" s="26" t="str">
        <f t="shared" si="122"/>
        <v/>
      </c>
      <c r="M788" s="29"/>
      <c r="N788" s="29"/>
      <c r="O788" s="29"/>
      <c r="P788" s="29"/>
      <c r="Q788" s="29"/>
      <c r="R788" s="29"/>
      <c r="S788" s="29"/>
      <c r="T788" s="29"/>
      <c r="U788" s="26" t="str">
        <f t="shared" si="123"/>
        <v/>
      </c>
      <c r="V788" s="26"/>
      <c r="W788" s="26" t="str">
        <f t="shared" si="124"/>
        <v/>
      </c>
      <c r="X788" s="26" t="str">
        <f t="shared" si="125"/>
        <v/>
      </c>
      <c r="Y788" s="26" t="str">
        <f t="shared" si="126"/>
        <v/>
      </c>
      <c r="Z788" s="26" t="str">
        <f t="shared" si="127"/>
        <v/>
      </c>
      <c r="AA788" s="26" t="str">
        <f t="shared" si="128"/>
        <v/>
      </c>
      <c r="AB788" s="5" t="str">
        <f t="shared" si="129"/>
        <v/>
      </c>
    </row>
    <row r="789" spans="1:28" ht="12" customHeight="1">
      <c r="A789" s="22">
        <v>797</v>
      </c>
      <c r="B789" s="30"/>
      <c r="C789" s="30"/>
      <c r="D789" s="29"/>
      <c r="E789" s="29"/>
      <c r="F789" s="29"/>
      <c r="G789" s="29"/>
      <c r="H789" s="29"/>
      <c r="I789" s="25" t="str">
        <f t="shared" si="120"/>
        <v/>
      </c>
      <c r="J789" s="29"/>
      <c r="K789" s="25" t="str">
        <f t="shared" si="121"/>
        <v/>
      </c>
      <c r="L789" s="26" t="str">
        <f t="shared" si="122"/>
        <v/>
      </c>
      <c r="M789" s="29"/>
      <c r="N789" s="29"/>
      <c r="O789" s="29"/>
      <c r="P789" s="29"/>
      <c r="Q789" s="29"/>
      <c r="R789" s="29"/>
      <c r="S789" s="29"/>
      <c r="T789" s="29"/>
      <c r="U789" s="26" t="str">
        <f t="shared" si="123"/>
        <v/>
      </c>
      <c r="V789" s="26"/>
      <c r="W789" s="26" t="str">
        <f t="shared" si="124"/>
        <v/>
      </c>
      <c r="X789" s="26" t="str">
        <f t="shared" si="125"/>
        <v/>
      </c>
      <c r="Y789" s="26" t="str">
        <f t="shared" si="126"/>
        <v/>
      </c>
      <c r="Z789" s="26" t="str">
        <f t="shared" si="127"/>
        <v/>
      </c>
      <c r="AA789" s="26" t="str">
        <f t="shared" si="128"/>
        <v/>
      </c>
      <c r="AB789" s="5" t="str">
        <f t="shared" si="129"/>
        <v/>
      </c>
    </row>
    <row r="790" spans="1:28" ht="12" customHeight="1">
      <c r="A790" s="22">
        <v>798</v>
      </c>
      <c r="B790" s="30"/>
      <c r="C790" s="30"/>
      <c r="D790" s="29"/>
      <c r="E790" s="29"/>
      <c r="F790" s="29"/>
      <c r="G790" s="29"/>
      <c r="H790" s="29"/>
      <c r="I790" s="25" t="str">
        <f t="shared" si="120"/>
        <v/>
      </c>
      <c r="J790" s="29"/>
      <c r="K790" s="25" t="str">
        <f t="shared" si="121"/>
        <v/>
      </c>
      <c r="L790" s="26" t="str">
        <f t="shared" si="122"/>
        <v/>
      </c>
      <c r="M790" s="29"/>
      <c r="N790" s="29"/>
      <c r="O790" s="29"/>
      <c r="P790" s="29"/>
      <c r="Q790" s="29"/>
      <c r="R790" s="29"/>
      <c r="S790" s="29"/>
      <c r="T790" s="29"/>
      <c r="U790" s="26" t="str">
        <f t="shared" si="123"/>
        <v/>
      </c>
      <c r="V790" s="26"/>
      <c r="W790" s="26" t="str">
        <f t="shared" si="124"/>
        <v/>
      </c>
      <c r="X790" s="26" t="str">
        <f t="shared" si="125"/>
        <v/>
      </c>
      <c r="Y790" s="26" t="str">
        <f t="shared" si="126"/>
        <v/>
      </c>
      <c r="Z790" s="26" t="str">
        <f t="shared" si="127"/>
        <v/>
      </c>
      <c r="AA790" s="26" t="str">
        <f t="shared" si="128"/>
        <v/>
      </c>
      <c r="AB790" s="5" t="str">
        <f t="shared" si="129"/>
        <v/>
      </c>
    </row>
    <row r="791" spans="1:28" ht="12" customHeight="1">
      <c r="A791" s="22">
        <v>799</v>
      </c>
      <c r="B791" s="30"/>
      <c r="C791" s="30"/>
      <c r="D791" s="29"/>
      <c r="E791" s="29"/>
      <c r="F791" s="29"/>
      <c r="G791" s="29"/>
      <c r="H791" s="29"/>
      <c r="I791" s="25" t="str">
        <f t="shared" si="120"/>
        <v/>
      </c>
      <c r="J791" s="29"/>
      <c r="K791" s="25" t="str">
        <f t="shared" si="121"/>
        <v/>
      </c>
      <c r="L791" s="26" t="str">
        <f t="shared" si="122"/>
        <v/>
      </c>
      <c r="M791" s="29"/>
      <c r="N791" s="29"/>
      <c r="O791" s="29"/>
      <c r="P791" s="29"/>
      <c r="Q791" s="29"/>
      <c r="R791" s="29"/>
      <c r="S791" s="29"/>
      <c r="T791" s="29"/>
      <c r="U791" s="26" t="str">
        <f t="shared" si="123"/>
        <v/>
      </c>
      <c r="V791" s="26"/>
      <c r="W791" s="26" t="str">
        <f t="shared" si="124"/>
        <v/>
      </c>
      <c r="X791" s="26" t="str">
        <f t="shared" si="125"/>
        <v/>
      </c>
      <c r="Y791" s="26" t="str">
        <f t="shared" si="126"/>
        <v/>
      </c>
      <c r="Z791" s="26" t="str">
        <f t="shared" si="127"/>
        <v/>
      </c>
      <c r="AA791" s="26" t="str">
        <f t="shared" si="128"/>
        <v/>
      </c>
      <c r="AB791" s="5" t="str">
        <f t="shared" si="129"/>
        <v/>
      </c>
    </row>
    <row r="792" spans="1:28" ht="12" customHeight="1">
      <c r="A792" s="22">
        <v>800</v>
      </c>
      <c r="B792" s="30"/>
      <c r="C792" s="30"/>
      <c r="D792" s="29"/>
      <c r="E792" s="29"/>
      <c r="F792" s="29"/>
      <c r="G792" s="29"/>
      <c r="H792" s="29"/>
      <c r="I792" s="25" t="str">
        <f t="shared" si="120"/>
        <v/>
      </c>
      <c r="J792" s="29"/>
      <c r="K792" s="25" t="str">
        <f t="shared" si="121"/>
        <v/>
      </c>
      <c r="L792" s="26" t="str">
        <f t="shared" si="122"/>
        <v/>
      </c>
      <c r="M792" s="29"/>
      <c r="N792" s="29"/>
      <c r="O792" s="29"/>
      <c r="P792" s="29"/>
      <c r="Q792" s="29"/>
      <c r="R792" s="29"/>
      <c r="S792" s="29"/>
      <c r="T792" s="29"/>
      <c r="U792" s="26" t="str">
        <f t="shared" si="123"/>
        <v/>
      </c>
      <c r="V792" s="26"/>
      <c r="W792" s="26" t="str">
        <f t="shared" si="124"/>
        <v/>
      </c>
      <c r="X792" s="26" t="str">
        <f t="shared" si="125"/>
        <v/>
      </c>
      <c r="Y792" s="26" t="str">
        <f t="shared" si="126"/>
        <v/>
      </c>
      <c r="Z792" s="26" t="str">
        <f t="shared" si="127"/>
        <v/>
      </c>
      <c r="AA792" s="26" t="str">
        <f t="shared" si="128"/>
        <v/>
      </c>
      <c r="AB792" s="5" t="str">
        <f t="shared" si="129"/>
        <v/>
      </c>
    </row>
  </sheetData>
  <autoFilter ref="A5:T792" xr:uid="{00000000-0009-0000-0000-000000000000}"/>
  <conditionalFormatting sqref="L6:L792">
    <cfRule type="cellIs" dxfId="21" priority="9" operator="between">
      <formula>20</formula>
      <formula>25</formula>
    </cfRule>
    <cfRule type="cellIs" dxfId="20" priority="14" operator="equal">
      <formula>"Critical"</formula>
    </cfRule>
    <cfRule type="cellIs" dxfId="19" priority="13" operator="equal">
      <formula>"High"</formula>
    </cfRule>
    <cfRule type="cellIs" dxfId="18" priority="12" operator="equal">
      <formula>"Medium"</formula>
    </cfRule>
    <cfRule type="cellIs" dxfId="17" priority="11" operator="equal">
      <formula>"Low"</formula>
    </cfRule>
    <cfRule type="cellIs" dxfId="16" priority="10" operator="equal">
      <formula>"N/A"</formula>
    </cfRule>
    <cfRule type="colorScale" priority="8">
      <colorScale>
        <cfvo type="num" val="0"/>
        <cfvo type="percentile" val="50"/>
        <cfvo type="num" val="25"/>
        <color rgb="FF00B050"/>
        <color rgb="FFFFC000"/>
        <color rgb="FFFF0000"/>
      </colorScale>
    </cfRule>
  </conditionalFormatting>
  <conditionalFormatting sqref="P1:P1048576">
    <cfRule type="containsText" dxfId="15" priority="2" operator="containsText" text="Closed">
      <formula>NOT(ISERROR(SEARCH("Closed",P1)))</formula>
    </cfRule>
    <cfRule type="containsText" dxfId="14" priority="5" operator="containsText" text="Open - Extended">
      <formula>NOT(ISERROR(SEARCH("Open - Extended",P1)))</formula>
    </cfRule>
    <cfRule type="containsText" dxfId="13" priority="4" operator="containsText" text="In Progress">
      <formula>NOT(ISERROR(SEARCH("In Progress",P1)))</formula>
    </cfRule>
    <cfRule type="containsText" dxfId="12" priority="3" operator="containsText" text="Not Started">
      <formula>NOT(ISERROR(SEARCH("Not Started",P1)))</formula>
    </cfRule>
  </conditionalFormatting>
  <conditionalFormatting sqref="P6">
    <cfRule type="containsText" dxfId="11" priority="7" operator="containsText" text="Open - Extended">
      <formula>NOT(ISERROR(SEARCH("Open - Extended",P6)))</formula>
    </cfRule>
    <cfRule type="containsText" dxfId="10" priority="6" operator="containsText" text="In Progress">
      <formula>NOT(ISERROR(SEARCH("In Progress",P6)))</formula>
    </cfRule>
  </conditionalFormatting>
  <conditionalFormatting sqref="P6:P118">
    <cfRule type="cellIs" dxfId="9" priority="15" operator="equal">
      <formula>"Risk Accepted"</formula>
    </cfRule>
    <cfRule type="cellIs" dxfId="8" priority="16" operator="equal">
      <formula>"Open - Extended"</formula>
    </cfRule>
    <cfRule type="cellIs" dxfId="7" priority="17" operator="equal">
      <formula>"Open - On Track"</formula>
    </cfRule>
    <cfRule type="cellIs" dxfId="6" priority="18" operator="equal">
      <formula>"Overdue"</formula>
    </cfRule>
    <cfRule type="cellIs" dxfId="5" priority="19" operator="equal">
      <formula>"Closed - No longer relevant"</formula>
    </cfRule>
    <cfRule type="cellIs" dxfId="4" priority="20" operator="equal">
      <formula>"Closed - Completed"</formula>
    </cfRule>
  </conditionalFormatting>
  <conditionalFormatting sqref="U6:U792 Z6:Z792">
    <cfRule type="cellIs" dxfId="3" priority="21" operator="equal">
      <formula>"Low"</formula>
    </cfRule>
    <cfRule type="cellIs" dxfId="2" priority="22" operator="equal">
      <formula>"Medium"</formula>
    </cfRule>
    <cfRule type="cellIs" dxfId="1" priority="23" operator="equal">
      <formula>"High"</formula>
    </cfRule>
    <cfRule type="cellIs" dxfId="0" priority="24" operator="equal">
      <formula>"Critical"</formula>
    </cfRule>
  </conditionalFormatting>
  <conditionalFormatting sqref="Y6:Y792">
    <cfRule type="colorScale" priority="25">
      <colorScale>
        <cfvo type="num" val="0"/>
        <cfvo type="percentile" val="50"/>
        <cfvo type="num" val="25"/>
        <color rgb="FF00B050"/>
        <color rgb="FFFFC000"/>
        <color rgb="FFFF0000"/>
      </colorScale>
    </cfRule>
  </conditionalFormatting>
  <dataValidations count="5">
    <dataValidation type="list" allowBlank="1" errorTitle="Invalid entry" error="Please choose a value from the dropdown list." promptTitle="Choose a value" prompt="Select from the list" sqref="G6:G792" xr:uid="{00000000-0002-0000-0000-000000000000}">
      <formula1>"Strategic,Operational,Financial,Compliance,Reputational,Project,Environmental,Contextual,Public Health Emergency Response"</formula1>
      <formula2>0</formula2>
    </dataValidation>
    <dataValidation type="list" allowBlank="1" errorTitle="Invalid entry" error="Please choose a value from the dropdown list." promptTitle="Choose a value" prompt="Select from the list" sqref="H6:H792" xr:uid="{00000000-0002-0000-0000-000001000000}">
      <formula1>"Unlikely,Possible,Likely,Almost Certain,Certain"</formula1>
      <formula2>0</formula2>
    </dataValidation>
    <dataValidation type="list" allowBlank="1" errorTitle="Invalid entry" error="Please choose a value from the dropdown list." promptTitle="Choose a value" prompt="Select from the list" sqref="J6:J792" xr:uid="{00000000-0002-0000-0000-000002000000}">
      <formula1>"Negligible,Minor,Moderate,Major,Critical"</formula1>
      <formula2>0</formula2>
    </dataValidation>
    <dataValidation type="list" allowBlank="1" errorTitle="Invalid entry" error="Please choose a value from the dropdown list." promptTitle="Choose a value" prompt="Select from the list" sqref="P6:P792" xr:uid="{00000000-0002-0000-0000-000003000000}">
      <formula1>"Not Started,In Progress,Open - Extended,Closed - Mitigated,Overdue"</formula1>
      <formula2>0</formula2>
    </dataValidation>
    <dataValidation type="list" allowBlank="1" errorTitle="Invalid entry" error="Please choose a value from the dropdown list." promptTitle="Mitigation Effectiveness" prompt="Assess how effective the mitigation is expected to be in reducing this risk" sqref="V6:V792" xr:uid="{00000000-0002-0000-0000-000004000000}">
      <formula1>"Not Assessed,Limited,Partial,Substantial,Highly Effective"</formula1>
      <formula2>0</formula2>
    </dataValidation>
  </dataValidations>
  <pageMargins left="0.23611111111111099" right="0.23611111111111099" top="0.74861111111111101" bottom="0.74861111111111101" header="0.31527777777777799" footer="0.31527777777777799"/>
  <pageSetup paperSize="9" fitToWidth="2" fitToHeight="20" orientation="landscape" horizontalDpi="300" verticalDpi="300"/>
  <headerFooter>
    <oddHeader>&amp;R&amp;"+,Bold"&amp;16 &amp;K17406dACTION_x005F_x000a_TRACKER</oddHeader>
    <oddFooter>&amp;R&amp;"Maven Pro,Bold"&amp;8 Page &amp;P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53"/>
  <sheetViews>
    <sheetView showGridLines="0" topLeftCell="A8" zoomScale="98" zoomScaleNormal="98" workbookViewId="0">
      <selection activeCell="H21" sqref="H21"/>
    </sheetView>
  </sheetViews>
  <sheetFormatPr baseColWidth="10" defaultColWidth="20" defaultRowHeight="13"/>
  <cols>
    <col min="1" max="16384" width="20" style="31"/>
  </cols>
  <sheetData>
    <row r="1" spans="1:12" ht="27.75" customHeight="1">
      <c r="A1" s="32" t="s">
        <v>1162</v>
      </c>
    </row>
    <row r="2" spans="1:12" s="34" customFormat="1" ht="31.5" customHeight="1">
      <c r="A2" s="33" t="s">
        <v>1163</v>
      </c>
    </row>
    <row r="4" spans="1:12" ht="19.5" customHeight="1">
      <c r="A4" s="35" t="s">
        <v>1164</v>
      </c>
      <c r="B4" s="36"/>
      <c r="C4" s="36"/>
      <c r="D4" s="36"/>
      <c r="E4" s="36"/>
      <c r="F4" s="36"/>
      <c r="G4" s="36"/>
      <c r="H4" s="36"/>
      <c r="I4" s="36"/>
      <c r="J4" s="36"/>
      <c r="K4" s="36"/>
      <c r="L4" s="36"/>
    </row>
    <row r="5" spans="1:12" s="40" customFormat="1" ht="42.75" customHeight="1">
      <c r="A5" s="37">
        <f>COUNTA('Risk Register'!$D$6:$D$792)</f>
        <v>272</v>
      </c>
      <c r="B5" s="37">
        <f>COUNTIF('Risk Register'!$U$6:$U$792,"Critical")</f>
        <v>100</v>
      </c>
      <c r="C5" s="37">
        <f>COUNTIF('Risk Register'!$U$6:$U$792,"High")</f>
        <v>103</v>
      </c>
      <c r="D5" s="37">
        <f>COUNTIF('Risk Register'!$U$6:$U$792,"Medium")</f>
        <v>62</v>
      </c>
      <c r="E5" s="37">
        <f>COUNTIF('Risk Register'!$U$6:$U$792,"Low")</f>
        <v>6</v>
      </c>
      <c r="F5" s="38">
        <f>IFERROR(AVERAGE('Risk Register'!$L$6:$L$792),0)</f>
        <v>14.332103321033211</v>
      </c>
      <c r="G5" s="38">
        <f>IFERROR(AVERAGE('Risk Register'!$Y$6:$Y$792),0)</f>
        <v>14.332103321033211</v>
      </c>
      <c r="H5" s="39">
        <f>IFERROR((AVERAGE('Risk Register'!$L$6:$L$792)-AVERAGE('Risk Register'!$Y$6:$Y$792))/AVERAGE('Risk Register'!$L$6:$L$792),0)</f>
        <v>0</v>
      </c>
      <c r="I5" s="37">
        <f>COUNTIFS('Risk Register'!$V$6:$V$792,"&lt;&gt;",'Risk Register'!$D$6:$D$792,"&lt;&gt;")</f>
        <v>0</v>
      </c>
      <c r="J5" s="37">
        <f>COUNTIFS('Risk Register'!$V$6:$V$792,"",'Risk Register'!$D$6:$D$792,"&lt;&gt;")</f>
        <v>272</v>
      </c>
      <c r="K5" s="37">
        <f>COUNTIF('Risk Register'!$P$6:$P$792,"Open - Extended")</f>
        <v>101</v>
      </c>
      <c r="L5" s="37">
        <f>COUNTIFS('Risk Register'!$P$6:$P$792,"",'Risk Register'!$D$6:$D$792,"&lt;&gt;")</f>
        <v>156</v>
      </c>
    </row>
    <row r="6" spans="1:12" ht="30" customHeight="1">
      <c r="A6" s="41" t="s">
        <v>1165</v>
      </c>
      <c r="B6" s="41" t="s">
        <v>1166</v>
      </c>
      <c r="C6" s="41" t="s">
        <v>1167</v>
      </c>
      <c r="D6" s="41" t="s">
        <v>1168</v>
      </c>
      <c r="E6" s="41" t="s">
        <v>1169</v>
      </c>
      <c r="F6" s="41" t="s">
        <v>1170</v>
      </c>
      <c r="G6" s="41" t="s">
        <v>1171</v>
      </c>
      <c r="H6" s="41" t="s">
        <v>1172</v>
      </c>
      <c r="I6" s="41" t="s">
        <v>1173</v>
      </c>
      <c r="J6" s="41" t="s">
        <v>1174</v>
      </c>
      <c r="K6" s="41" t="s">
        <v>1175</v>
      </c>
      <c r="L6" s="41" t="s">
        <v>1176</v>
      </c>
    </row>
    <row r="8" spans="1:12" ht="77.25" customHeight="1">
      <c r="A8" s="35" t="s">
        <v>1177</v>
      </c>
      <c r="B8" s="36"/>
      <c r="C8" s="36"/>
      <c r="D8" s="36"/>
      <c r="F8" s="35" t="s">
        <v>1178</v>
      </c>
      <c r="G8" s="36"/>
      <c r="H8" s="36"/>
      <c r="I8" s="36"/>
    </row>
    <row r="9" spans="1:12" ht="103.5" customHeight="1">
      <c r="A9" s="1" t="s">
        <v>1179</v>
      </c>
      <c r="B9" s="1" t="s">
        <v>1180</v>
      </c>
      <c r="C9" s="1" t="s">
        <v>1181</v>
      </c>
      <c r="D9" s="1" t="s">
        <v>1182</v>
      </c>
      <c r="F9" s="1" t="s">
        <v>6</v>
      </c>
      <c r="G9" s="1" t="s">
        <v>1183</v>
      </c>
      <c r="H9" s="1" t="s">
        <v>1170</v>
      </c>
      <c r="I9" s="1" t="s">
        <v>1184</v>
      </c>
    </row>
    <row r="10" spans="1:12" ht="12.75" customHeight="1">
      <c r="A10" s="42" t="s">
        <v>35</v>
      </c>
      <c r="B10" s="43">
        <f>COUNTIF('Risk Register'!$U$6:$U$792,"Critical")</f>
        <v>100</v>
      </c>
      <c r="C10" s="43">
        <f>COUNTIF('Risk Register'!$Z$6:$Z$792,"Critical")</f>
        <v>100</v>
      </c>
      <c r="D10" s="43">
        <f>C10-B10</f>
        <v>0</v>
      </c>
      <c r="F10" s="42" t="s">
        <v>58</v>
      </c>
      <c r="G10" s="43">
        <f>COUNTIF('Risk Register'!$G$6:$G$792,"Strategic")</f>
        <v>50</v>
      </c>
      <c r="H10" s="44">
        <f>IFERROR(AVERAGEIF('Risk Register'!$G$6:$G$792,"Strategic",'Risk Register'!$L$6:$L$792),0)</f>
        <v>13.38</v>
      </c>
      <c r="I10" s="45">
        <f>IFERROR(G10/COUNTA('Risk Register'!$D$6:$D$792),0)</f>
        <v>0.18382352941176472</v>
      </c>
    </row>
    <row r="11" spans="1:12" ht="12.75" customHeight="1">
      <c r="A11" s="42" t="s">
        <v>1185</v>
      </c>
      <c r="B11" s="43">
        <f>COUNTIF('Risk Register'!$U$6:$U$792,"High")</f>
        <v>103</v>
      </c>
      <c r="C11" s="43">
        <f>COUNTIF('Risk Register'!$Z$6:$Z$792,"High")</f>
        <v>103</v>
      </c>
      <c r="D11" s="43">
        <f>C11-B11</f>
        <v>0</v>
      </c>
      <c r="F11" s="42" t="s">
        <v>33</v>
      </c>
      <c r="G11" s="43">
        <f>COUNTIF('Risk Register'!$G$6:$G$792,"Operational")</f>
        <v>115</v>
      </c>
      <c r="H11" s="44">
        <f>IFERROR(AVERAGEIF('Risk Register'!$G$6:$G$792,"Operational",'Risk Register'!$L$6:$L$792),0)</f>
        <v>15.140350877192983</v>
      </c>
      <c r="I11" s="45">
        <f>IFERROR(G11/COUNTA('Risk Register'!$D$6:$D$792),0)</f>
        <v>0.42279411764705882</v>
      </c>
    </row>
    <row r="12" spans="1:12" ht="12.75" customHeight="1">
      <c r="A12" s="42" t="s">
        <v>1186</v>
      </c>
      <c r="B12" s="43">
        <f>COUNTIF('Risk Register'!$U$6:$U$792,"Medium")</f>
        <v>62</v>
      </c>
      <c r="C12" s="43">
        <f>COUNTIF('Risk Register'!$Z$6:$Z$792,"Medium")</f>
        <v>62</v>
      </c>
      <c r="D12" s="43">
        <f>C12-B12</f>
        <v>0</v>
      </c>
      <c r="F12" s="42" t="s">
        <v>245</v>
      </c>
      <c r="G12" s="43">
        <f>COUNTIF('Risk Register'!$G$6:$G$792,"Financial")</f>
        <v>29</v>
      </c>
      <c r="H12" s="44">
        <f>IFERROR(AVERAGEIF('Risk Register'!$G$6:$G$792,"Financial",'Risk Register'!$L$6:$L$792),0)</f>
        <v>15.068965517241379</v>
      </c>
      <c r="I12" s="45">
        <f>IFERROR(G12/COUNTA('Risk Register'!$D$6:$D$792),0)</f>
        <v>0.10661764705882353</v>
      </c>
    </row>
    <row r="13" spans="1:12" ht="12.75" customHeight="1">
      <c r="A13" s="42" t="s">
        <v>1187</v>
      </c>
      <c r="B13" s="43">
        <f>COUNTIF('Risk Register'!$U$6:$U$792,"Low")</f>
        <v>6</v>
      </c>
      <c r="C13" s="43">
        <f>COUNTIF('Risk Register'!$Z$6:$Z$792,"Low")</f>
        <v>6</v>
      </c>
      <c r="D13" s="43">
        <f>C13-B13</f>
        <v>0</v>
      </c>
      <c r="F13" s="42" t="s">
        <v>356</v>
      </c>
      <c r="G13" s="43">
        <f>COUNTIF('Risk Register'!$G$6:$G$792,"Compliance")</f>
        <v>22</v>
      </c>
      <c r="H13" s="44">
        <f>IFERROR(AVERAGEIF('Risk Register'!$G$6:$G$792,"Compliance",'Risk Register'!$L$6:$L$792),0)</f>
        <v>12.363636363636363</v>
      </c>
      <c r="I13" s="45">
        <f>IFERROR(G13/COUNTA('Risk Register'!$D$6:$D$792),0)</f>
        <v>8.0882352941176475E-2</v>
      </c>
    </row>
    <row r="14" spans="1:12" ht="12.75" customHeight="1">
      <c r="F14" s="42" t="s">
        <v>43</v>
      </c>
      <c r="G14" s="43">
        <f>COUNTIF('Risk Register'!$G$6:$G$792,"Reputational")</f>
        <v>18</v>
      </c>
      <c r="H14" s="44">
        <f>IFERROR(AVERAGEIF('Risk Register'!$G$6:$G$792,"Reputational",'Risk Register'!$L$6:$L$792),0)</f>
        <v>13.611111111111111</v>
      </c>
      <c r="I14" s="45">
        <f>IFERROR(G14/COUNTA('Risk Register'!$D$6:$D$792),0)</f>
        <v>6.6176470588235295E-2</v>
      </c>
    </row>
    <row r="15" spans="1:12" ht="12.75" customHeight="1">
      <c r="F15" s="42" t="s">
        <v>99</v>
      </c>
      <c r="G15" s="43">
        <f>COUNTIF('Risk Register'!$G$6:$G$792,"Project")</f>
        <v>19</v>
      </c>
      <c r="H15" s="44">
        <f>IFERROR(AVERAGEIF('Risk Register'!$G$6:$G$792,"Project",'Risk Register'!$L$6:$L$792),0)</f>
        <v>12.052631578947368</v>
      </c>
      <c r="I15" s="45">
        <f>IFERROR(G15/COUNTA('Risk Register'!$D$6:$D$792),0)</f>
        <v>6.985294117647059E-2</v>
      </c>
    </row>
    <row r="16" spans="1:12" ht="88.5" customHeight="1">
      <c r="A16" s="64" t="s">
        <v>1188</v>
      </c>
      <c r="B16" s="64"/>
      <c r="C16" s="64"/>
      <c r="D16" s="64"/>
      <c r="F16" s="46" t="s">
        <v>1189</v>
      </c>
      <c r="G16" s="47">
        <f>COUNTIF('Risk Register'!$G$6:$G$792,"Environmental")</f>
        <v>3</v>
      </c>
      <c r="H16" s="48">
        <f>IFERROR(AVERAGEIF('Risk Register'!$G$6:$G$792,"Environmental",'Risk Register'!$L$6:$L$792),0)</f>
        <v>14.666666666666666</v>
      </c>
      <c r="I16" s="49">
        <f>IFERROR(G16/COUNTA('Risk Register'!$D$6:$D$792),0)</f>
        <v>1.1029411764705883E-2</v>
      </c>
      <c r="J16" s="36"/>
      <c r="K16" s="36"/>
    </row>
    <row r="17" spans="1:11" ht="12.75" customHeight="1">
      <c r="A17" s="1" t="s">
        <v>1</v>
      </c>
      <c r="B17" s="1" t="s">
        <v>1183</v>
      </c>
      <c r="C17" s="1" t="s">
        <v>1170</v>
      </c>
      <c r="D17" s="1" t="s">
        <v>1190</v>
      </c>
      <c r="F17" s="1" t="s">
        <v>1191</v>
      </c>
      <c r="G17" s="1" t="s">
        <v>593</v>
      </c>
      <c r="H17" s="50" t="s">
        <v>109</v>
      </c>
      <c r="I17" s="51" t="s">
        <v>119</v>
      </c>
      <c r="J17" s="1" t="s">
        <v>51</v>
      </c>
      <c r="K17" s="1" t="s">
        <v>35</v>
      </c>
    </row>
    <row r="18" spans="1:11" ht="14.25" customHeight="1">
      <c r="A18" s="42" t="s">
        <v>317</v>
      </c>
      <c r="B18" s="43">
        <f>COUNTIF('Risk Register'!$B$6:$B$792,"Digital Health")</f>
        <v>29</v>
      </c>
      <c r="C18" s="44">
        <f>IFERROR((SUMIF('Risk Register'!$B$6:$B$792,"Digital Health",'Risk Register'!$L$6:$L$792))/B18,0)</f>
        <v>13.724137931034482</v>
      </c>
      <c r="D18" s="43">
        <f>COUNTIFS('Risk Register'!$B$6:$B$792,"Digital Health",'Risk Register'!$U$6:$U$792,"Critical")+COUNTIFS('Risk Register'!$B$6:$B$792,"Digital Health",'Risk Register'!$U$6:$U$792,"High")</f>
        <v>21</v>
      </c>
      <c r="F18" s="1" t="s">
        <v>34</v>
      </c>
      <c r="G18" s="52">
        <f>COUNTIFS('Risk Register'!$I$6:$I$792,5,'Risk Register'!$K$6:$K$792,1)</f>
        <v>0</v>
      </c>
      <c r="H18" s="53">
        <f>COUNTIFS('Risk Register'!$I$6:$I$792,5,'Risk Register'!$K$6:$K$792,2)</f>
        <v>0</v>
      </c>
      <c r="I18" s="54">
        <f>COUNTIFS('Risk Register'!$I$6:$I$792,5,'Risk Register'!$K$6:$K$792,3)</f>
        <v>8</v>
      </c>
      <c r="J18" s="55">
        <f>COUNTIFS('Risk Register'!$I$6:$I$792,5,'Risk Register'!$K$6:$K$792,4)</f>
        <v>21</v>
      </c>
      <c r="K18" s="55">
        <f>COUNTIFS('Risk Register'!$I$6:$I$792,5,'Risk Register'!$K$6:$K$792,5)</f>
        <v>36</v>
      </c>
    </row>
    <row r="19" spans="1:11" ht="14.25" customHeight="1">
      <c r="A19" s="42" t="s">
        <v>860</v>
      </c>
      <c r="B19" s="43">
        <f>COUNTIF('Risk Register'!$B$6:$B$792,"Western - RCC")</f>
        <v>26</v>
      </c>
      <c r="C19" s="44">
        <f>IFERROR((SUMIF('Risk Register'!$B$6:$B$792,"Western - RCC",'Risk Register'!$L$6:$L$792))/B19,0)</f>
        <v>12.653846153846153</v>
      </c>
      <c r="D19" s="43">
        <f>COUNTIFS('Risk Register'!$B$6:$B$792,"Western - RCC",'Risk Register'!$U$6:$U$792,"Critical")+COUNTIFS('Risk Register'!$B$6:$B$792,"Western - RCC",'Risk Register'!$U$6:$U$792,"High")</f>
        <v>20</v>
      </c>
      <c r="F19" s="1" t="s">
        <v>44</v>
      </c>
      <c r="G19" s="56">
        <f>COUNTIFS('Risk Register'!$I$6:$I$792,4,'Risk Register'!$K$6:$K$792,1)</f>
        <v>0</v>
      </c>
      <c r="H19" s="52">
        <f>COUNTIFS('Risk Register'!$I$6:$I$792,4,'Risk Register'!$K$6:$K$792,2)</f>
        <v>1</v>
      </c>
      <c r="I19" s="57">
        <f>COUNTIFS('Risk Register'!$I$6:$I$792,4,'Risk Register'!$K$6:$K$792,3)</f>
        <v>7</v>
      </c>
      <c r="J19" s="55">
        <f>COUNTIFS('Risk Register'!$I$6:$I$792,4,'Risk Register'!$K$6:$K$792,4)</f>
        <v>21</v>
      </c>
      <c r="K19" s="55">
        <f>COUNTIFS('Risk Register'!$I$6:$I$792,4,'Risk Register'!$K$6:$K$792,5)</f>
        <v>22</v>
      </c>
    </row>
    <row r="20" spans="1:11" ht="14.25" customHeight="1">
      <c r="A20" s="42" t="s">
        <v>1006</v>
      </c>
      <c r="B20" s="43">
        <f>COUNTIF('Risk Register'!$B$6:$B$792,"Partnerships ")</f>
        <v>24</v>
      </c>
      <c r="C20" s="44">
        <f>IFERROR((SUMIF('Risk Register'!$B$6:$B$792,"Partnerships ",'Risk Register'!$L$6:$L$792))/B20,0)</f>
        <v>18.041666666666668</v>
      </c>
      <c r="D20" s="43">
        <f>COUNTIFS('Risk Register'!$B$6:$B$792,"Partnerships ",'Risk Register'!$U$6:$U$792,"Critical")+COUNTIFS('Risk Register'!$B$6:$B$792,"Partnerships ",'Risk Register'!$U$6:$U$792,"High")</f>
        <v>16</v>
      </c>
      <c r="F20" s="1" t="s">
        <v>50</v>
      </c>
      <c r="G20" s="56">
        <f>COUNTIFS('Risk Register'!$I$6:$I$792,3,'Risk Register'!$K$6:$K$792,1)</f>
        <v>1</v>
      </c>
      <c r="H20" s="52">
        <f>COUNTIFS('Risk Register'!$I$6:$I$792,3,'Risk Register'!$K$6:$K$792,2)</f>
        <v>0</v>
      </c>
      <c r="I20" s="52">
        <f>COUNTIFS('Risk Register'!$I$6:$I$792,3,'Risk Register'!$K$6:$K$792,3)</f>
        <v>27</v>
      </c>
      <c r="J20" s="57">
        <f>COUNTIFS('Risk Register'!$I$6:$I$792,3,'Risk Register'!$K$6:$K$792,4)</f>
        <v>55</v>
      </c>
      <c r="K20" s="57">
        <f>COUNTIFS('Risk Register'!$I$6:$I$792,3,'Risk Register'!$K$6:$K$792,5)</f>
        <v>16</v>
      </c>
    </row>
    <row r="21" spans="1:11" ht="23.25" customHeight="1">
      <c r="A21" s="42" t="s">
        <v>1192</v>
      </c>
      <c r="B21" s="43">
        <f>COUNTIF('Risk Register'!$B$6:$B$792,"Supply Chain/ Procurement")</f>
        <v>23</v>
      </c>
      <c r="C21" s="44">
        <f>IFERROR((SUMIF('Risk Register'!$B$6:$B$792,"Supply Chain/ Procurement",'Risk Register'!$L$6:$L$792))/B21,0)</f>
        <v>13.782608695652174</v>
      </c>
      <c r="D21" s="43">
        <f>COUNTIFS('Risk Register'!$B$6:$B$792,"Supply Chain/ Procurement",'Risk Register'!$U$6:$U$792,"Critical")+COUNTIFS('Risk Register'!$B$6:$B$792,"Supply Chain/ Procurement",'Risk Register'!$U$6:$U$792,"High")</f>
        <v>20</v>
      </c>
      <c r="F21" s="1" t="s">
        <v>108</v>
      </c>
      <c r="G21" s="56">
        <f>COUNTIFS('Risk Register'!$I$6:$I$792,2,'Risk Register'!$K$6:$K$792,1)</f>
        <v>1</v>
      </c>
      <c r="H21" s="56">
        <f>COUNTIFS('Risk Register'!$I$6:$I$792,2,'Risk Register'!$K$6:$K$792,2)</f>
        <v>4</v>
      </c>
      <c r="I21" s="52">
        <f>COUNTIFS('Risk Register'!$I$6:$I$792,2,'Risk Register'!$K$6:$K$792,3)</f>
        <v>15</v>
      </c>
      <c r="J21" s="52">
        <f>COUNTIFS('Risk Register'!$I$6:$I$792,2,'Risk Register'!$K$6:$K$792,4)</f>
        <v>19</v>
      </c>
      <c r="K21" s="57">
        <f>COUNTIFS('Risk Register'!$I$6:$I$792,2,'Risk Register'!$K$6:$K$792,5)</f>
        <v>17</v>
      </c>
    </row>
    <row r="22" spans="1:11" ht="14.25" customHeight="1">
      <c r="A22" s="42" t="s">
        <v>957</v>
      </c>
      <c r="B22" s="43">
        <f>COUNTIF('Risk Register'!$B$6:$B$792,"HEF")</f>
        <v>15</v>
      </c>
      <c r="C22" s="44">
        <f>IFERROR((SUMIF('Risk Register'!$B$6:$B$792,"HEF",'Risk Register'!$L$6:$L$792))/B22,0)</f>
        <v>13.866666666666667</v>
      </c>
      <c r="D22" s="43">
        <f>COUNTIFS('Risk Register'!$B$6:$B$792,"HEF",'Risk Register'!$U$6:$U$792,"Critical")+COUNTIFS('Risk Register'!$B$6:$B$792,"HEF",'Risk Register'!$U$6:$U$792,"High")</f>
        <v>13</v>
      </c>
      <c r="F22" s="1" t="s">
        <v>1193</v>
      </c>
      <c r="G22" s="56">
        <f>COUNTIFS('Risk Register'!$I$6:$I$792,1,'Risk Register'!$K$6:$K$792,1)</f>
        <v>0</v>
      </c>
      <c r="H22" s="56">
        <f>COUNTIFS('Risk Register'!$I$6:$I$792,1,'Risk Register'!$K$6:$K$792,2)</f>
        <v>0</v>
      </c>
      <c r="I22" s="56">
        <f>COUNTIFS('Risk Register'!$I$6:$I$792,1,'Risk Register'!$K$6:$K$792,3)</f>
        <v>0</v>
      </c>
      <c r="J22" s="56">
        <f>COUNTIFS('Risk Register'!$I$6:$I$792,1,'Risk Register'!$K$6:$K$792,4)</f>
        <v>0</v>
      </c>
      <c r="K22" s="52">
        <f>COUNTIFS('Risk Register'!$I$6:$I$792,1,'Risk Register'!$K$6:$K$792,5)</f>
        <v>0</v>
      </c>
    </row>
    <row r="23" spans="1:11" ht="12.75" customHeight="1">
      <c r="A23" s="42" t="s">
        <v>193</v>
      </c>
      <c r="B23" s="43">
        <f>COUNTIF('Risk Register'!$B$6:$B$792,"SDI")</f>
        <v>14</v>
      </c>
      <c r="C23" s="44">
        <f>IFERROR((SUMIF('Risk Register'!$B$6:$B$792,"SDI",'Risk Register'!$L$6:$L$792))/B23,0)</f>
        <v>14.285714285714286</v>
      </c>
      <c r="D23" s="43">
        <f>COUNTIFS('Risk Register'!$B$6:$B$792,"SDI",'Risk Register'!$U$6:$U$792,"Critical")+COUNTIFS('Risk Register'!$B$6:$B$792,"SDI",'Risk Register'!$U$6:$U$792,"High")</f>
        <v>12</v>
      </c>
    </row>
    <row r="24" spans="1:11" ht="12.75" customHeight="1">
      <c r="A24" s="42" t="s">
        <v>701</v>
      </c>
      <c r="B24" s="43">
        <f>COUNTIF('Risk Register'!$B$6:$B$792,"HR")</f>
        <v>14</v>
      </c>
      <c r="C24" s="44">
        <f>IFERROR((SUMIF('Risk Register'!$B$6:$B$792,"HR",'Risk Register'!$L$6:$L$792))/B24,0)</f>
        <v>12.642857142857142</v>
      </c>
      <c r="D24" s="43">
        <f>COUNTIFS('Risk Register'!$B$6:$B$792,"HR",'Risk Register'!$U$6:$U$792,"Critical")+COUNTIFS('Risk Register'!$B$6:$B$792,"HR",'Risk Register'!$U$6:$U$792,"High")</f>
        <v>9</v>
      </c>
    </row>
    <row r="25" spans="1:11" ht="12.75" customHeight="1">
      <c r="A25" s="42" t="s">
        <v>1194</v>
      </c>
      <c r="B25" s="43">
        <f>COUNTIF('Risk Register'!$B$6:$B$792,"Eastern- RCC")</f>
        <v>13</v>
      </c>
      <c r="C25" s="44">
        <f>IFERROR((SUMIF('Risk Register'!$B$6:$B$792,"Eastern- RCC",'Risk Register'!$L$6:$L$792))/B25,0)</f>
        <v>15.923076923076923</v>
      </c>
      <c r="D25" s="43">
        <f>COUNTIFS('Risk Register'!$B$6:$B$792,"Eastern- RCC",'Risk Register'!$U$6:$U$792,"Critical")+COUNTIFS('Risk Register'!$B$6:$B$792,"Eastern- RCC",'Risk Register'!$U$6:$U$792,"High")</f>
        <v>10</v>
      </c>
    </row>
    <row r="26" spans="1:11" ht="13.5" customHeight="1">
      <c r="A26" s="42" t="s">
        <v>165</v>
      </c>
      <c r="B26" s="43">
        <f>COUNTIF('Risk Register'!$B$6:$B$792,"Lab")</f>
        <v>12</v>
      </c>
      <c r="C26" s="44">
        <f>IFERROR((SUMIF('Risk Register'!$B$6:$B$792,"Lab",'Risk Register'!$L$6:$L$792))/B26,0)</f>
        <v>12.666666666666666</v>
      </c>
      <c r="D26" s="43">
        <f>COUNTIFS('Risk Register'!$B$6:$B$792,"Lab",'Risk Register'!$U$6:$U$792,"Critical")+COUNTIFS('Risk Register'!$B$6:$B$792,"Lab",'Risk Register'!$U$6:$U$792,"High")</f>
        <v>8</v>
      </c>
    </row>
    <row r="27" spans="1:11" ht="12.75" customHeight="1">
      <c r="A27" s="42" t="s">
        <v>1195</v>
      </c>
      <c r="B27" s="43">
        <f>COUNTIF('Risk Register'!$B$6:$B$792,"Central - RCC")</f>
        <v>0</v>
      </c>
      <c r="C27" s="44">
        <f>IFERROR((SUMIF('Risk Register'!$B$6:$B$792,"Central - RCC",'Risk Register'!$L$6:$L$792))/B27,0)</f>
        <v>0</v>
      </c>
      <c r="D27" s="43">
        <f>COUNTIFS('Risk Register'!$B$6:$B$792,"Central - RCC",'Risk Register'!$U$6:$U$792,"Critical")+COUNTIFS('Risk Register'!$B$6:$B$792,"Central - RCC",'Risk Register'!$U$6:$U$792,"High")</f>
        <v>0</v>
      </c>
    </row>
    <row r="28" spans="1:11" ht="12.75" customHeight="1">
      <c r="A28" s="42" t="s">
        <v>228</v>
      </c>
      <c r="B28" s="43">
        <f>COUNTIF('Risk Register'!$B$6:$B$792,"PHAHM")</f>
        <v>10</v>
      </c>
      <c r="C28" s="44">
        <f>IFERROR((SUMIF('Risk Register'!$B$6:$B$792,"PHAHM",'Risk Register'!$L$6:$L$792))/B28,0)</f>
        <v>9.1</v>
      </c>
      <c r="D28" s="43">
        <f>COUNTIFS('Risk Register'!$B$6:$B$792,"PHAHM",'Risk Register'!$U$6:$U$792,"Critical")+COUNTIFS('Risk Register'!$B$6:$B$792,"PHAHM",'Risk Register'!$U$6:$U$792,"High")</f>
        <v>3</v>
      </c>
    </row>
    <row r="29" spans="1:11" ht="12.75" customHeight="1">
      <c r="A29" s="42" t="s">
        <v>436</v>
      </c>
      <c r="B29" s="43">
        <f>COUNTIF('Risk Register'!$B$6:$B$792,"Finance")</f>
        <v>10</v>
      </c>
      <c r="C29" s="44">
        <f>IFERROR((SUMIF('Risk Register'!$B$6:$B$792,"Finance",'Risk Register'!$L$6:$L$792))/B29,0)</f>
        <v>18.3</v>
      </c>
      <c r="D29" s="43">
        <f>COUNTIFS('Risk Register'!$B$6:$B$792,"Finance",'Risk Register'!$U$6:$U$792,"Critical")+COUNTIFS('Risk Register'!$B$6:$B$792,"Finance",'Risk Register'!$U$6:$U$792,"High")</f>
        <v>10</v>
      </c>
    </row>
    <row r="30" spans="1:11" ht="12.75" customHeight="1">
      <c r="A30" s="42" t="s">
        <v>813</v>
      </c>
      <c r="B30" s="43">
        <f>COUNTIF('Risk Register'!$B$6:$B$792,"Northern - RCC")</f>
        <v>10</v>
      </c>
      <c r="C30" s="44">
        <f>IFERROR((SUMIF('Risk Register'!$B$6:$B$792,"Northern - RCC",'Risk Register'!$L$6:$L$792))/B30,0)</f>
        <v>10.9</v>
      </c>
      <c r="D30" s="43">
        <f>COUNTIFS('Risk Register'!$B$6:$B$792,"Northern - RCC",'Risk Register'!$U$6:$U$792,"Critical")+COUNTIFS('Risk Register'!$B$6:$B$792,"Northern - RCC",'Risk Register'!$U$6:$U$792,"High")</f>
        <v>4</v>
      </c>
    </row>
    <row r="31" spans="1:11" ht="12.75" customHeight="1">
      <c r="A31" s="42" t="s">
        <v>275</v>
      </c>
      <c r="B31" s="43">
        <f>COUNTIF('Risk Register'!$B$6:$B$792,"Science")</f>
        <v>9</v>
      </c>
      <c r="C31" s="44">
        <f>IFERROR((SUMIF('Risk Register'!$B$6:$B$792,"Science",'Risk Register'!$L$6:$L$792))/B31,0)</f>
        <v>10.222222222222221</v>
      </c>
      <c r="D31" s="43">
        <f>COUNTIFS('Risk Register'!$B$6:$B$792,"Science",'Risk Register'!$U$6:$U$792,"Critical")+COUNTIFS('Risk Register'!$B$6:$B$792,"Science",'Risk Register'!$U$6:$U$792,"High")</f>
        <v>5</v>
      </c>
    </row>
    <row r="32" spans="1:11" ht="12.75" customHeight="1">
      <c r="A32" s="42" t="s">
        <v>659</v>
      </c>
      <c r="B32" s="43">
        <f>COUNTIF('Risk Register'!$B$6:$B$792,"Legal")</f>
        <v>8</v>
      </c>
      <c r="C32" s="44">
        <f>IFERROR((SUMIF('Risk Register'!$B$6:$B$792,"Legal",'Risk Register'!$L$6:$L$792))/B32,0)</f>
        <v>16.75</v>
      </c>
      <c r="D32" s="43">
        <f>COUNTIFS('Risk Register'!$B$6:$B$792,"Legal",'Risk Register'!$U$6:$U$792,"Critical")+COUNTIFS('Risk Register'!$B$6:$B$792,"Legal",'Risk Register'!$U$6:$U$792,"High")</f>
        <v>6</v>
      </c>
    </row>
    <row r="33" spans="1:12" ht="12.75" customHeight="1">
      <c r="A33" s="42" t="s">
        <v>127</v>
      </c>
      <c r="B33" s="43">
        <f>COUNTIF('Risk Register'!$B$6:$B$792,"EPR")</f>
        <v>7</v>
      </c>
      <c r="C33" s="44">
        <f>IFERROR((SUMIF('Risk Register'!$B$6:$B$792,"EPR",'Risk Register'!$L$6:$L$792))/B33,0)</f>
        <v>16.428571428571427</v>
      </c>
      <c r="D33" s="43">
        <f>COUNTIFS('Risk Register'!$B$6:$B$792,"EPR",'Risk Register'!$U$6:$U$792,"Critical")+COUNTIFS('Risk Register'!$B$6:$B$792,"EPR",'Risk Register'!$U$6:$U$792,"High")</f>
        <v>7</v>
      </c>
    </row>
    <row r="34" spans="1:12" ht="12.75" customHeight="1">
      <c r="A34" s="42" t="s">
        <v>28</v>
      </c>
      <c r="B34" s="43">
        <f>COUNTIF('Risk Register'!$B$6:$B$792,"PHC/CHSHP")</f>
        <v>6</v>
      </c>
      <c r="C34" s="44">
        <f>IFERROR((SUMIF('Risk Register'!$B$6:$B$792,"PHC/CHSHP",'Risk Register'!$L$6:$L$792))/B34,0)</f>
        <v>18.666666666666668</v>
      </c>
      <c r="D34" s="43">
        <f>COUNTIFS('Risk Register'!$B$6:$B$792,"PHC/CHSHP",'Risk Register'!$U$6:$U$792,"Critical")+COUNTIFS('Risk Register'!$B$6:$B$792,"PHC/CHSHP",'Risk Register'!$U$6:$U$792,"High")</f>
        <v>6</v>
      </c>
    </row>
    <row r="35" spans="1:12" ht="12.75" customHeight="1">
      <c r="A35" s="42" t="s">
        <v>1018</v>
      </c>
      <c r="B35" s="43">
        <f>COUNTIF('Risk Register'!$B$6:$B$792,"Southern RCC")</f>
        <v>5</v>
      </c>
      <c r="C35" s="44">
        <f>IFERROR((SUMIF('Risk Register'!$B$6:$B$792,"Southern RCC",'Risk Register'!$L$6:$L$792))/B35,0)</f>
        <v>16</v>
      </c>
      <c r="D35" s="43">
        <f>COUNTIFS('Risk Register'!$B$6:$B$792,"Southern RCC",'Risk Register'!$U$6:$U$792,"Critical")+COUNTIFS('Risk Register'!$B$6:$B$792,"Southern RCC",'Risk Register'!$U$6:$U$792,"High")</f>
        <v>5</v>
      </c>
    </row>
    <row r="36" spans="1:12" ht="12.75" customHeight="1">
      <c r="A36" s="42" t="s">
        <v>72</v>
      </c>
      <c r="B36" s="43">
        <f>COUNTIF('Risk Register'!$B$6:$B$792,"PHC/IDDS")</f>
        <v>4</v>
      </c>
      <c r="C36" s="44">
        <f>IFERROR((SUMIF('Risk Register'!$B$6:$B$792,"PHC/IDDS",'Risk Register'!$L$6:$L$792))/B36,0)</f>
        <v>20.5</v>
      </c>
      <c r="D36" s="43">
        <f>COUNTIFS('Risk Register'!$B$6:$B$792,"PHC/IDDS",'Risk Register'!$U$6:$U$792,"Critical")+COUNTIFS('Risk Register'!$B$6:$B$792,"PHC/IDDS",'Risk Register'!$U$6:$U$792,"High")</f>
        <v>4</v>
      </c>
    </row>
    <row r="37" spans="1:12" s="58" customFormat="1" ht="12.75" customHeight="1">
      <c r="A37" s="42" t="s">
        <v>1196</v>
      </c>
      <c r="B37" s="43">
        <f>COUNTIF('Risk Register'!$B$6:$B$792,"PHC/NCDIMH
")</f>
        <v>4</v>
      </c>
      <c r="C37" s="44">
        <f>IFERROR((SUMIF('Risk Register'!$B$6:$B$792,"PHC/NCDIMH
",'Risk Register'!$L$6:$L$792))/B37,0)</f>
        <v>8.75</v>
      </c>
      <c r="D37" s="43">
        <f>COUNTIFS('Risk Register'!$B$6:$B$792,"PHC/NCDIMH
",'Risk Register'!$U$6:$U$792,"Critical")+COUNTIFS('Risk Register'!$B$6:$B$792,"PHC/NCDIMH
",'Risk Register'!$U$6:$U$792,"High")</f>
        <v>1</v>
      </c>
    </row>
    <row r="38" spans="1:12" ht="12.75" customHeight="1">
      <c r="A38" s="42" t="s">
        <v>1197</v>
      </c>
      <c r="B38" s="43">
        <f>COUNTIF('Risk Register'!$B$6:$B$792,"SRMNCAH")+COUNTIF('Risk Register'!$B$6:$B$792,"SRNMCAH")</f>
        <v>3</v>
      </c>
      <c r="C38" s="44">
        <f>IFERROR((SUMIF('Risk Register'!$B$6:$B$792,"SRMNCAH",'Risk Register'!$L$6:$L$792)+SUMIF('Risk Register'!$B$6:$B$792,"SRNMCAH",'Risk Register'!$L$6:$L$792))/B38,0)</f>
        <v>17.666666666666668</v>
      </c>
      <c r="D38" s="43">
        <f>COUNTIFS('Risk Register'!$B$6:$B$792,"SRMNCAH",'Risk Register'!$U$6:$U$792,"Critical")+COUNTIFS('Risk Register'!$B$6:$B$792,"SRMNCAH",'Risk Register'!$U$6:$U$792,"High")+COUNTIFS('Risk Register'!$B$6:$B$792,"SRNMCAH",'Risk Register'!$U$6:$U$792,"Critical")+COUNTIFS('Risk Register'!$B$6:$B$792,"SRNMCAH",'Risk Register'!$U$6:$U$792,"High")</f>
        <v>3</v>
      </c>
    </row>
    <row r="40" spans="1:12" ht="74.25" customHeight="1">
      <c r="A40" s="35" t="s">
        <v>1198</v>
      </c>
      <c r="B40" s="36"/>
      <c r="C40" s="36"/>
      <c r="D40" s="36"/>
      <c r="E40" s="36"/>
      <c r="F40" s="36"/>
      <c r="H40" s="35" t="s">
        <v>1199</v>
      </c>
      <c r="I40" s="36"/>
      <c r="K40" s="35" t="s">
        <v>1200</v>
      </c>
      <c r="L40" s="36"/>
    </row>
    <row r="41" spans="1:12" ht="12.75" customHeight="1">
      <c r="A41" s="1" t="s">
        <v>1201</v>
      </c>
      <c r="B41" s="1" t="s">
        <v>1</v>
      </c>
      <c r="C41" s="1" t="s">
        <v>1202</v>
      </c>
      <c r="D41" s="1" t="s">
        <v>1203</v>
      </c>
      <c r="E41" s="1" t="s">
        <v>1204</v>
      </c>
      <c r="F41" s="1" t="s">
        <v>1205</v>
      </c>
      <c r="H41" s="1" t="s">
        <v>1206</v>
      </c>
      <c r="I41" s="1" t="s">
        <v>1183</v>
      </c>
      <c r="K41" s="1" t="s">
        <v>1207</v>
      </c>
      <c r="L41" s="1" t="s">
        <v>1183</v>
      </c>
    </row>
    <row r="42" spans="1:12" ht="27.75" customHeight="1">
      <c r="A42" s="59">
        <v>1</v>
      </c>
      <c r="B42" s="43" t="str">
        <f>IFERROR(INDEX('Risk Register'!$B$6:$B$792,MATCH(LARGE('Risk Register'!$AB$6:$AB$792,1),'Risk Register'!$AB$6:$AB$792,0)),"")</f>
        <v>Center - RCC</v>
      </c>
      <c r="C42" s="43" t="str">
        <f>IFERROR(INDEX('Risk Register'!$D$6:$D$792,MATCH(LARGE('Risk Register'!$AB$6:$AB$792,1),'Risk Register'!$AB$6:$AB$792,0)),"")</f>
        <v>Prolonged vacancy and instability in key positions</v>
      </c>
      <c r="D42" s="43">
        <f>IFERROR(INDEX('Risk Register'!$L$6:$L$792,MATCH(LARGE('Risk Register'!$AB$6:$AB$792,1),'Risk Register'!$AB$6:$AB$792,0)),"")</f>
        <v>25</v>
      </c>
      <c r="E42" s="43">
        <f>IFERROR(INDEX('Risk Register'!$Y$6:$Y$792,MATCH(LARGE('Risk Register'!$AB$6:$AB$792,1),'Risk Register'!$AB$6:$AB$792,0)),"")</f>
        <v>25</v>
      </c>
      <c r="F42" s="43" t="str">
        <f>IFERROR(INDEX('Risk Register'!$Z$6:$Z$792,MATCH(LARGE('Risk Register'!$AB$6:$AB$792,1),'Risk Register'!$AB$6:$AB$792,0)),"")</f>
        <v>Critical</v>
      </c>
      <c r="H42" s="42" t="s">
        <v>512</v>
      </c>
      <c r="I42" s="43">
        <f>COUNTIF('Risk Register'!$P$6:$P$792,"Not Started")</f>
        <v>4</v>
      </c>
      <c r="K42" s="42" t="s">
        <v>1208</v>
      </c>
      <c r="L42" s="43">
        <f>COUNTIFS('Risk Register'!$V$6:$V$792,"",'Risk Register'!$D$6:$D$792,"&lt;&gt;")</f>
        <v>272</v>
      </c>
    </row>
    <row r="43" spans="1:12" ht="34.5" customHeight="1">
      <c r="A43" s="59">
        <v>2</v>
      </c>
      <c r="B43" s="43" t="str">
        <f>IFERROR(INDEX('Risk Register'!$B$6:$B$792,MATCH(LARGE('Risk Register'!$AB$6:$AB$792,2),'Risk Register'!$AB$6:$AB$792,0)),"")</f>
        <v>Center - RCC</v>
      </c>
      <c r="C43" s="43" t="str">
        <f>IFERROR(INDEX('Risk Register'!$D$6:$D$792,MATCH(LARGE('Risk Register'!$AB$6:$AB$792,2),'Risk Register'!$AB$6:$AB$792,0)),"")</f>
        <v>Limitations in communication, coordination, knowledge sharing, and equitable access to information</v>
      </c>
      <c r="D43" s="43">
        <f>IFERROR(INDEX('Risk Register'!$L$6:$L$792,MATCH(LARGE('Risk Register'!$AB$6:$AB$792,2),'Risk Register'!$AB$6:$AB$792,0)),"")</f>
        <v>25</v>
      </c>
      <c r="E43" s="43">
        <f>IFERROR(INDEX('Risk Register'!$Y$6:$Y$792,MATCH(LARGE('Risk Register'!$AB$6:$AB$792,2),'Risk Register'!$AB$6:$AB$792,0)),"")</f>
        <v>25</v>
      </c>
      <c r="F43" s="43" t="str">
        <f>IFERROR(INDEX('Risk Register'!$Z$6:$Z$792,MATCH(LARGE('Risk Register'!$AB$6:$AB$792,2),'Risk Register'!$AB$6:$AB$792,0)),"")</f>
        <v>Critical</v>
      </c>
      <c r="H43" s="42" t="s">
        <v>501</v>
      </c>
      <c r="I43" s="43">
        <f>COUNTIF('Risk Register'!$P$6:$P$792,"In Progress")</f>
        <v>11</v>
      </c>
      <c r="K43" s="42" t="s">
        <v>1209</v>
      </c>
      <c r="L43" s="43">
        <f>COUNTIF('Risk Register'!$V$6:$V$792,"Limited")</f>
        <v>0</v>
      </c>
    </row>
    <row r="44" spans="1:12" ht="57" customHeight="1">
      <c r="A44" s="59">
        <v>3</v>
      </c>
      <c r="B44" s="43" t="str">
        <f>IFERROR(INDEX('Risk Register'!$B$6:$B$792,MATCH(LARGE('Risk Register'!$AB$6:$AB$792,3),'Risk Register'!$AB$6:$AB$792,0)),"")</f>
        <v>HEF</v>
      </c>
      <c r="C44" s="43" t="str">
        <f>IFERROR(INDEX('Risk Register'!$D$6:$D$792,MATCH(LARGE('Risk Register'!$AB$6:$AB$792,3),'Risk Register'!$AB$6:$AB$792,0)),"")</f>
        <v>Under-staffed Division</v>
      </c>
      <c r="D44" s="43">
        <f>IFERROR(INDEX('Risk Register'!$L$6:$L$792,MATCH(LARGE('Risk Register'!$AB$6:$AB$792,3),'Risk Register'!$AB$6:$AB$792,0)),"")</f>
        <v>25</v>
      </c>
      <c r="E44" s="43">
        <f>IFERROR(INDEX('Risk Register'!$Y$6:$Y$792,MATCH(LARGE('Risk Register'!$AB$6:$AB$792,3),'Risk Register'!$AB$6:$AB$792,0)),"")</f>
        <v>25</v>
      </c>
      <c r="F44" s="43" t="str">
        <f>IFERROR(INDEX('Risk Register'!$Z$6:$Z$792,MATCH(LARGE('Risk Register'!$AB$6:$AB$792,3),'Risk Register'!$AB$6:$AB$792,0)),"")</f>
        <v>Critical</v>
      </c>
      <c r="H44" s="42" t="s">
        <v>37</v>
      </c>
      <c r="I44" s="43">
        <f>COUNTIF('Risk Register'!$P$6:$P$792,"Open - Extended")</f>
        <v>101</v>
      </c>
      <c r="K44" s="42" t="s">
        <v>1210</v>
      </c>
      <c r="L44" s="43">
        <f>COUNTIF('Risk Register'!$V$6:$V$792,"Partial")</f>
        <v>0</v>
      </c>
    </row>
    <row r="45" spans="1:12" ht="45.75" customHeight="1">
      <c r="A45" s="59">
        <v>4</v>
      </c>
      <c r="B45" s="43" t="str">
        <f>IFERROR(INDEX('Risk Register'!$B$6:$B$792,MATCH(LARGE('Risk Register'!$AB$6:$AB$792,4),'Risk Register'!$AB$6:$AB$792,0)),"")</f>
        <v>Northern - RCC</v>
      </c>
      <c r="C45" s="43" t="str">
        <f>IFERROR(INDEX('Risk Register'!$D$6:$D$792,MATCH(LARGE('Risk Register'!$AB$6:$AB$792,4),'Risk Register'!$AB$6:$AB$792,0)),"")</f>
        <v>The majority  of the staff funded by one project donor (SLL)</v>
      </c>
      <c r="D45" s="43">
        <f>IFERROR(INDEX('Risk Register'!$L$6:$L$792,MATCH(LARGE('Risk Register'!$AB$6:$AB$792,4),'Risk Register'!$AB$6:$AB$792,0)),"")</f>
        <v>25</v>
      </c>
      <c r="E45" s="43">
        <f>IFERROR(INDEX('Risk Register'!$Y$6:$Y$792,MATCH(LARGE('Risk Register'!$AB$6:$AB$792,4),'Risk Register'!$AB$6:$AB$792,0)),"")</f>
        <v>25</v>
      </c>
      <c r="F45" s="43" t="str">
        <f>IFERROR(INDEX('Risk Register'!$Z$6:$Z$792,MATCH(LARGE('Risk Register'!$AB$6:$AB$792,4),'Risk Register'!$AB$6:$AB$792,0)),"")</f>
        <v>Critical</v>
      </c>
      <c r="H45" s="42" t="s">
        <v>1211</v>
      </c>
      <c r="I45" s="43">
        <f>COUNTIF('Risk Register'!$P$6:$P$792,"Closed - Mitigated")</f>
        <v>0</v>
      </c>
      <c r="K45" s="42" t="s">
        <v>1212</v>
      </c>
      <c r="L45" s="43">
        <f>COUNTIF('Risk Register'!$V$6:$V$792,"Substantial")</f>
        <v>0</v>
      </c>
    </row>
    <row r="46" spans="1:12" ht="25.5" customHeight="1">
      <c r="A46" s="59">
        <v>5</v>
      </c>
      <c r="B46" s="43" t="str">
        <f>IFERROR(INDEX('Risk Register'!$B$6:$B$792,MATCH(LARGE('Risk Register'!$AB$6:$AB$792,5),'Risk Register'!$AB$6:$AB$792,0)),"")</f>
        <v>Eastern- RCC</v>
      </c>
      <c r="C46" s="43" t="str">
        <f>IFERROR(INDEX('Risk Register'!$D$6:$D$792,MATCH(LARGE('Risk Register'!$AB$6:$AB$792,5),'Risk Register'!$AB$6:$AB$792,0)),"")</f>
        <v xml:space="preserve">Absence of a systematic regional data sharing mechanism across the 14 member states to inform best actions </v>
      </c>
      <c r="D46" s="43">
        <f>IFERROR(INDEX('Risk Register'!$L$6:$L$792,MATCH(LARGE('Risk Register'!$AB$6:$AB$792,5),'Risk Register'!$AB$6:$AB$792,0)),"")</f>
        <v>25</v>
      </c>
      <c r="E46" s="43">
        <f>IFERROR(INDEX('Risk Register'!$Y$6:$Y$792,MATCH(LARGE('Risk Register'!$AB$6:$AB$792,5),'Risk Register'!$AB$6:$AB$792,0)),"")</f>
        <v>25</v>
      </c>
      <c r="F46" s="43" t="str">
        <f>IFERROR(INDEX('Risk Register'!$Z$6:$Z$792,MATCH(LARGE('Risk Register'!$AB$6:$AB$792,5),'Risk Register'!$AB$6:$AB$792,0)),"")</f>
        <v>Critical</v>
      </c>
      <c r="H46" s="42" t="s">
        <v>1213</v>
      </c>
      <c r="I46" s="43">
        <f>COUNTIF('Risk Register'!$P$6:$P$792,"Overdue")</f>
        <v>0</v>
      </c>
      <c r="K46" s="42" t="s">
        <v>1214</v>
      </c>
      <c r="L46" s="43">
        <f>COUNTIF('Risk Register'!$V$6:$V$792,"Highly Effective")</f>
        <v>0</v>
      </c>
    </row>
    <row r="47" spans="1:12" ht="28.5" customHeight="1">
      <c r="A47" s="59">
        <v>6</v>
      </c>
      <c r="B47" s="43" t="str">
        <f>IFERROR(INDEX('Risk Register'!$B$6:$B$792,MATCH(LARGE('Risk Register'!$AB$6:$AB$792,6),'Risk Register'!$AB$6:$AB$792,0)),"")</f>
        <v>Eastern- RCC</v>
      </c>
      <c r="C47" s="43" t="str">
        <f>IFERROR(INDEX('Risk Register'!$D$6:$D$792,MATCH(LARGE('Risk Register'!$AB$6:$AB$792,6),'Risk Register'!$AB$6:$AB$792,0)),"")</f>
        <v>Over 90% of staff having near term contract end date with uncertainty about  renewal</v>
      </c>
      <c r="D47" s="43">
        <f>IFERROR(INDEX('Risk Register'!$L$6:$L$792,MATCH(LARGE('Risk Register'!$AB$6:$AB$792,6),'Risk Register'!$AB$6:$AB$792,0)),"")</f>
        <v>25</v>
      </c>
      <c r="E47" s="43">
        <f>IFERROR(INDEX('Risk Register'!$Y$6:$Y$792,MATCH(LARGE('Risk Register'!$AB$6:$AB$792,6),'Risk Register'!$AB$6:$AB$792,0)),"")</f>
        <v>25</v>
      </c>
      <c r="F47" s="43" t="str">
        <f>IFERROR(INDEX('Risk Register'!$Z$6:$Z$792,MATCH(LARGE('Risk Register'!$AB$6:$AB$792,6),'Risk Register'!$AB$6:$AB$792,0)),"")</f>
        <v>Critical</v>
      </c>
      <c r="H47" s="42" t="s">
        <v>1215</v>
      </c>
      <c r="I47" s="43">
        <f>COUNTIFS('Risk Register'!$P$6:$P$792,"",'Risk Register'!$D$6:$D$792,"&lt;&gt;")</f>
        <v>156</v>
      </c>
    </row>
    <row r="48" spans="1:12" ht="25.5" customHeight="1">
      <c r="A48" s="59">
        <v>7</v>
      </c>
      <c r="B48" s="43" t="str">
        <f>IFERROR(INDEX('Risk Register'!$B$6:$B$792,MATCH(LARGE('Risk Register'!$AB$6:$AB$792,7),'Risk Register'!$AB$6:$AB$792,0)),"")</f>
        <v>Eastern- RCC</v>
      </c>
      <c r="C48" s="43" t="str">
        <f>IFERROR(INDEX('Risk Register'!$D$6:$D$792,MATCH(LARGE('Risk Register'!$AB$6:$AB$792,7),'Risk Register'!$AB$6:$AB$792,0)),"")</f>
        <v xml:space="preserve">Over 90% of staff in the Eastern RCC  funded by a single donor - MasterCard Foundation through the SLL programme  </v>
      </c>
      <c r="D48" s="43">
        <f>IFERROR(INDEX('Risk Register'!$L$6:$L$792,MATCH(LARGE('Risk Register'!$AB$6:$AB$792,7),'Risk Register'!$AB$6:$AB$792,0)),"")</f>
        <v>25</v>
      </c>
      <c r="E48" s="43">
        <f>IFERROR(INDEX('Risk Register'!$Y$6:$Y$792,MATCH(LARGE('Risk Register'!$AB$6:$AB$792,7),'Risk Register'!$AB$6:$AB$792,0)),"")</f>
        <v>25</v>
      </c>
      <c r="F48" s="43" t="str">
        <f>IFERROR(INDEX('Risk Register'!$Z$6:$Z$792,MATCH(LARGE('Risk Register'!$AB$6:$AB$792,7),'Risk Register'!$AB$6:$AB$792,0)),"")</f>
        <v>Critical</v>
      </c>
    </row>
    <row r="49" spans="1:6" ht="25.5" customHeight="1">
      <c r="A49" s="59">
        <v>8</v>
      </c>
      <c r="B49" s="43" t="str">
        <f>IFERROR(INDEX('Risk Register'!$B$6:$B$792,MATCH(LARGE('Risk Register'!$AB$6:$AB$792,8),'Risk Register'!$AB$6:$AB$792,0)),"")</f>
        <v>SDI</v>
      </c>
      <c r="C49" s="43" t="str">
        <f>IFERROR(INDEX('Risk Register'!$D$6:$D$792,MATCH(LARGE('Risk Register'!$AB$6:$AB$792,8),'Risk Register'!$AB$6:$AB$792,0)),"")</f>
        <v>Limited workforce ;for a highly demanding Division mandate</v>
      </c>
      <c r="D49" s="43">
        <f>IFERROR(INDEX('Risk Register'!$L$6:$L$792,MATCH(LARGE('Risk Register'!$AB$6:$AB$792,8),'Risk Register'!$AB$6:$AB$792,0)),"")</f>
        <v>25</v>
      </c>
      <c r="E49" s="43">
        <f>IFERROR(INDEX('Risk Register'!$Y$6:$Y$792,MATCH(LARGE('Risk Register'!$AB$6:$AB$792,8),'Risk Register'!$AB$6:$AB$792,0)),"")</f>
        <v>25</v>
      </c>
      <c r="F49" s="43" t="str">
        <f>IFERROR(INDEX('Risk Register'!$Z$6:$Z$792,MATCH(LARGE('Risk Register'!$AB$6:$AB$792,8),'Risk Register'!$AB$6:$AB$792,0)),"")</f>
        <v>Critical</v>
      </c>
    </row>
    <row r="50" spans="1:6" ht="25.5" customHeight="1">
      <c r="A50" s="59">
        <v>9</v>
      </c>
      <c r="B50" s="43" t="str">
        <f>IFERROR(INDEX('Risk Register'!$B$6:$B$792,MATCH(LARGE('Risk Register'!$AB$6:$AB$792,9),'Risk Register'!$AB$6:$AB$792,0)),"")</f>
        <v>HR</v>
      </c>
      <c r="C50" s="43" t="str">
        <f>IFERROR(INDEX('Risk Register'!$D$6:$D$792,MATCH(LARGE('Risk Register'!$AB$6:$AB$792,9),'Risk Register'!$AB$6:$AB$792,0)),"")</f>
        <v>If Africa CDC continues to heavily rely on a single donor to fund its human resources, then it faces a significant risk of operational disruption should the donor reduce or withdraw funding.</v>
      </c>
      <c r="D50" s="43">
        <f>IFERROR(INDEX('Risk Register'!$L$6:$L$792,MATCH(LARGE('Risk Register'!$AB$6:$AB$792,9),'Risk Register'!$AB$6:$AB$792,0)),"")</f>
        <v>25</v>
      </c>
      <c r="E50" s="43">
        <f>IFERROR(INDEX('Risk Register'!$Y$6:$Y$792,MATCH(LARGE('Risk Register'!$AB$6:$AB$792,9),'Risk Register'!$AB$6:$AB$792,0)),"")</f>
        <v>25</v>
      </c>
      <c r="F50" s="43" t="str">
        <f>IFERROR(INDEX('Risk Register'!$Z$6:$Z$792,MATCH(LARGE('Risk Register'!$AB$6:$AB$792,9),'Risk Register'!$AB$6:$AB$792,0)),"")</f>
        <v>Critical</v>
      </c>
    </row>
    <row r="51" spans="1:6" s="58" customFormat="1" ht="113.25" customHeight="1">
      <c r="A51" s="59">
        <v>10</v>
      </c>
      <c r="B51" s="43" t="str">
        <f>IFERROR(INDEX('Risk Register'!$B$6:$B$792,MATCH(LARGE('Risk Register'!$AB$6:$AB$792,10),'Risk Register'!$AB$6:$AB$792,0)),"")</f>
        <v>Legal</v>
      </c>
      <c r="C51" s="43" t="str">
        <f>IFERROR(INDEX('Risk Register'!$D$6:$D$792,MATCH(LARGE('Risk Register'!$AB$6:$AB$792,10),'Risk Register'!$AB$6:$AB$792,0)),"")</f>
        <v xml:space="preserve">Capacity &amp; Institutional Sustainability </v>
      </c>
      <c r="D51" s="43">
        <f>IFERROR(INDEX('Risk Register'!$L$6:$L$792,MATCH(LARGE('Risk Register'!$AB$6:$AB$792,10),'Risk Register'!$AB$6:$AB$792,0)),"")</f>
        <v>25</v>
      </c>
      <c r="E51" s="43">
        <f>IFERROR(INDEX('Risk Register'!$Y$6:$Y$792,MATCH(LARGE('Risk Register'!$AB$6:$AB$792,10),'Risk Register'!$AB$6:$AB$792,0)),"")</f>
        <v>25</v>
      </c>
      <c r="F51" s="43" t="str">
        <f>IFERROR(INDEX('Risk Register'!$Z$6:$Z$792,MATCH(LARGE('Risk Register'!$AB$6:$AB$792,10),'Risk Register'!$AB$6:$AB$792,0)),"")</f>
        <v>Critical</v>
      </c>
    </row>
    <row r="53" spans="1:6" ht="13.5" customHeight="1"/>
  </sheetData>
  <mergeCells count="1">
    <mergeCell ref="A16:D16"/>
  </mergeCells>
  <pageMargins left="0.23611111111111099" right="0.23611111111111099" top="0.74861111111111101" bottom="0.74791666666666701" header="0.31527777777777799" footer="0.511811023622047"/>
  <pageSetup paperSize="9" fitToHeight="7" orientation="landscape" horizontalDpi="300" verticalDpi="300"/>
  <headerFooter>
    <oddHeader>&amp;R&amp;"Maven Pro,Bold"&amp;16 &amp;K17406d ACTION TRACKER_x005F_x000a_DASHBOARD</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showGridLines="0" zoomScaleNormal="100" workbookViewId="0">
      <selection activeCell="D18" sqref="D18"/>
    </sheetView>
  </sheetViews>
  <sheetFormatPr baseColWidth="10" defaultColWidth="8.5" defaultRowHeight="14"/>
  <cols>
    <col min="1" max="1" width="30" customWidth="1"/>
    <col min="2" max="2" width="18" customWidth="1"/>
    <col min="3" max="3" width="45" customWidth="1"/>
    <col min="4" max="5" width="18" customWidth="1"/>
  </cols>
  <sheetData>
    <row r="1" spans="1:5" ht="24" customHeight="1">
      <c r="A1" s="60" t="s">
        <v>1216</v>
      </c>
    </row>
    <row r="3" spans="1:5" ht="63.75" customHeight="1">
      <c r="A3" s="61" t="s">
        <v>1217</v>
      </c>
      <c r="B3" s="36"/>
      <c r="D3" s="61" t="s">
        <v>1218</v>
      </c>
      <c r="E3" s="36"/>
    </row>
    <row r="4" spans="1:5" ht="15" customHeight="1">
      <c r="A4" s="1" t="s">
        <v>1219</v>
      </c>
      <c r="B4" s="1" t="s">
        <v>1220</v>
      </c>
      <c r="D4" s="1" t="s">
        <v>1221</v>
      </c>
      <c r="E4" s="1" t="s">
        <v>1220</v>
      </c>
    </row>
    <row r="5" spans="1:5" ht="15" customHeight="1">
      <c r="A5" s="43" t="s">
        <v>1193</v>
      </c>
      <c r="B5" s="62">
        <v>1</v>
      </c>
      <c r="D5" s="43" t="s">
        <v>593</v>
      </c>
      <c r="E5" s="62">
        <v>1</v>
      </c>
    </row>
    <row r="6" spans="1:5" ht="15" customHeight="1">
      <c r="A6" s="43" t="s">
        <v>108</v>
      </c>
      <c r="B6" s="62">
        <v>2</v>
      </c>
      <c r="D6" s="43" t="s">
        <v>109</v>
      </c>
      <c r="E6" s="62">
        <v>2</v>
      </c>
    </row>
    <row r="7" spans="1:5" ht="15" customHeight="1">
      <c r="A7" s="43" t="s">
        <v>50</v>
      </c>
      <c r="B7" s="62">
        <v>3</v>
      </c>
      <c r="D7" s="43" t="s">
        <v>119</v>
      </c>
      <c r="E7" s="62">
        <v>3</v>
      </c>
    </row>
    <row r="8" spans="1:5" ht="15" customHeight="1">
      <c r="A8" s="43" t="s">
        <v>44</v>
      </c>
      <c r="B8" s="62">
        <v>4</v>
      </c>
      <c r="D8" s="43" t="s">
        <v>51</v>
      </c>
      <c r="E8" s="62">
        <v>4</v>
      </c>
    </row>
    <row r="9" spans="1:5" ht="15" customHeight="1">
      <c r="A9" s="43" t="s">
        <v>34</v>
      </c>
      <c r="B9" s="62">
        <v>5</v>
      </c>
      <c r="D9" s="43" t="s">
        <v>35</v>
      </c>
      <c r="E9" s="62">
        <v>5</v>
      </c>
    </row>
    <row r="11" spans="1:5" ht="65.25" customHeight="1">
      <c r="A11" s="61" t="s">
        <v>1222</v>
      </c>
      <c r="B11" s="36"/>
      <c r="D11" s="61" t="s">
        <v>1223</v>
      </c>
      <c r="E11" s="36"/>
    </row>
    <row r="12" spans="1:5" ht="15" customHeight="1">
      <c r="A12" s="1" t="s">
        <v>1224</v>
      </c>
      <c r="B12" s="1" t="s">
        <v>1179</v>
      </c>
      <c r="D12" s="66" t="s">
        <v>6</v>
      </c>
      <c r="E12" s="66"/>
    </row>
    <row r="13" spans="1:5" ht="15" customHeight="1">
      <c r="A13" s="62" t="s">
        <v>1225</v>
      </c>
      <c r="B13" s="62" t="s">
        <v>1187</v>
      </c>
      <c r="D13" s="43" t="s">
        <v>58</v>
      </c>
    </row>
    <row r="14" spans="1:5" ht="15" customHeight="1">
      <c r="A14" s="62" t="s">
        <v>1226</v>
      </c>
      <c r="B14" s="62" t="s">
        <v>1186</v>
      </c>
      <c r="D14" s="43" t="s">
        <v>33</v>
      </c>
    </row>
    <row r="15" spans="1:5" ht="15" customHeight="1">
      <c r="A15" s="62" t="s">
        <v>1227</v>
      </c>
      <c r="B15" s="62" t="s">
        <v>1185</v>
      </c>
      <c r="D15" s="43" t="s">
        <v>245</v>
      </c>
    </row>
    <row r="16" spans="1:5" ht="15" customHeight="1">
      <c r="A16" s="62" t="s">
        <v>1228</v>
      </c>
      <c r="B16" s="62" t="s">
        <v>35</v>
      </c>
      <c r="D16" s="43" t="s">
        <v>356</v>
      </c>
    </row>
    <row r="17" spans="1:5" ht="15" customHeight="1">
      <c r="D17" s="43" t="s">
        <v>43</v>
      </c>
    </row>
    <row r="18" spans="1:5" ht="59.25" customHeight="1">
      <c r="A18" s="61" t="s">
        <v>1229</v>
      </c>
      <c r="B18" s="36"/>
      <c r="D18" s="63" t="s">
        <v>1230</v>
      </c>
      <c r="E18" s="36"/>
    </row>
    <row r="19" spans="1:5" ht="15" customHeight="1">
      <c r="A19" s="66" t="s">
        <v>1206</v>
      </c>
      <c r="B19" s="66"/>
      <c r="D19" s="1" t="s">
        <v>1207</v>
      </c>
      <c r="E19" s="1" t="s">
        <v>1231</v>
      </c>
    </row>
    <row r="20" spans="1:5" ht="15" customHeight="1">
      <c r="A20" s="43" t="s">
        <v>512</v>
      </c>
      <c r="D20" s="43" t="s">
        <v>1208</v>
      </c>
      <c r="E20" s="62">
        <v>0</v>
      </c>
    </row>
    <row r="21" spans="1:5" ht="15" customHeight="1">
      <c r="A21" s="43" t="s">
        <v>501</v>
      </c>
      <c r="D21" s="43" t="s">
        <v>1209</v>
      </c>
      <c r="E21" s="62">
        <v>1</v>
      </c>
    </row>
    <row r="22" spans="1:5" ht="15" customHeight="1">
      <c r="A22" s="43" t="s">
        <v>37</v>
      </c>
      <c r="D22" s="43" t="s">
        <v>1210</v>
      </c>
      <c r="E22" s="62">
        <v>2</v>
      </c>
    </row>
    <row r="23" spans="1:5" ht="15" customHeight="1">
      <c r="A23" s="43" t="s">
        <v>1211</v>
      </c>
      <c r="D23" s="43" t="s">
        <v>1212</v>
      </c>
      <c r="E23" s="62">
        <v>3</v>
      </c>
    </row>
    <row r="24" spans="1:5" ht="15" customHeight="1">
      <c r="A24" s="43" t="s">
        <v>1213</v>
      </c>
      <c r="D24" s="43" t="s">
        <v>1214</v>
      </c>
      <c r="E24" s="62">
        <v>4</v>
      </c>
    </row>
    <row r="27" spans="1:5" ht="18" customHeight="1">
      <c r="A27" s="61" t="s">
        <v>1232</v>
      </c>
      <c r="B27" s="36"/>
      <c r="C27" s="36"/>
      <c r="D27" s="36"/>
      <c r="E27" s="36"/>
    </row>
    <row r="28" spans="1:5" ht="45" customHeight="1">
      <c r="A28" s="65" t="s">
        <v>1233</v>
      </c>
      <c r="B28" s="65"/>
      <c r="C28" s="65"/>
      <c r="D28" s="65"/>
      <c r="E28" s="65"/>
    </row>
    <row r="29" spans="1:5" ht="45" customHeight="1">
      <c r="A29" s="65" t="s">
        <v>1234</v>
      </c>
      <c r="B29" s="65"/>
      <c r="C29" s="65"/>
      <c r="D29" s="65"/>
      <c r="E29" s="65"/>
    </row>
    <row r="30" spans="1:5" ht="45" customHeight="1">
      <c r="A30" s="65" t="s">
        <v>1235</v>
      </c>
      <c r="B30" s="65"/>
      <c r="C30" s="65"/>
      <c r="D30" s="65"/>
      <c r="E30" s="65"/>
    </row>
    <row r="31" spans="1:5" ht="45" customHeight="1">
      <c r="A31" s="65" t="s">
        <v>1236</v>
      </c>
      <c r="B31" s="65"/>
      <c r="C31" s="65"/>
      <c r="D31" s="65"/>
      <c r="E31" s="65"/>
    </row>
    <row r="32" spans="1:5" ht="45" customHeight="1">
      <c r="A32" s="65" t="s">
        <v>1237</v>
      </c>
      <c r="B32" s="65"/>
      <c r="C32" s="65"/>
      <c r="D32" s="65"/>
      <c r="E32" s="65"/>
    </row>
    <row r="33" spans="1:5" ht="45" customHeight="1">
      <c r="A33" s="65" t="s">
        <v>1238</v>
      </c>
      <c r="B33" s="65"/>
      <c r="C33" s="65"/>
      <c r="D33" s="65"/>
      <c r="E33" s="65"/>
    </row>
    <row r="34" spans="1:5" ht="45" customHeight="1">
      <c r="A34" s="65" t="s">
        <v>1239</v>
      </c>
      <c r="B34" s="65"/>
      <c r="C34" s="65"/>
      <c r="D34" s="65"/>
      <c r="E34" s="65"/>
    </row>
  </sheetData>
  <mergeCells count="9">
    <mergeCell ref="A31:E31"/>
    <mergeCell ref="A32:E32"/>
    <mergeCell ref="A33:E33"/>
    <mergeCell ref="A34:E34"/>
    <mergeCell ref="D12:E12"/>
    <mergeCell ref="A19:B19"/>
    <mergeCell ref="A28:E28"/>
    <mergeCell ref="A29:E29"/>
    <mergeCell ref="A30:E30"/>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defa4170-0d19-0005-0004-bc88714345d2}" enabled="1" method="Standard" siteId="{ace5c645-3ec7-4c8e-b12e-077221505df5}"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Risk Register</vt:lpstr>
      <vt:lpstr>Dashboard</vt:lpstr>
      <vt:lpstr>Reference &amp; Methodology</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 Audit Spot</dc:creator>
  <dc:description/>
  <cp:lastModifiedBy>Agaba Andrew</cp:lastModifiedBy>
  <cp:revision>3</cp:revision>
  <dcterms:created xsi:type="dcterms:W3CDTF">2019-01-16T22:27:05Z</dcterms:created>
  <dcterms:modified xsi:type="dcterms:W3CDTF">2026-09-16T08:04:09Z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0x010100309094C925814748935D027B37AC1FAF</vt:lpwstr>
  </property>
  <property fmtid="{D5CDD505-2E9C-101B-9397-08002B2CF9AE}" pid="3" name="MSIP_Label_defa4170-0d19-0005-0004-bc88714345d2_ActionId">
    <vt:lpwstr>ccec90f4-e8ad-43fe-9a52-0b208a3d18dd</vt:lpwstr>
  </property>
  <property fmtid="{D5CDD505-2E9C-101B-9397-08002B2CF9AE}" pid="4" name="MSIP_Label_defa4170-0d19-0005-0004-bc88714345d2_ContentBits">
    <vt:lpwstr>0</vt:lpwstr>
  </property>
  <property fmtid="{D5CDD505-2E9C-101B-9397-08002B2CF9AE}" pid="5" name="MSIP_Label_defa4170-0d19-0005-0004-bc88714345d2_Enabled">
    <vt:lpwstr>true</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etDate">
    <vt:lpwstr>2025-06-20T16:36:33Z</vt:lpwstr>
  </property>
  <property fmtid="{D5CDD505-2E9C-101B-9397-08002B2CF9AE}" pid="9" name="MSIP_Label_defa4170-0d19-0005-0004-bc88714345d2_SiteId">
    <vt:lpwstr>ace5c645-3ec7-4c8e-b12e-077221505df5</vt:lpwstr>
  </property>
</Properties>
</file>